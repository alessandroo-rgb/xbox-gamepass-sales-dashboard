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Área de Trabalho\DIO\5. Dashboard de Vendas\"/>
    </mc:Choice>
  </mc:AlternateContent>
  <xr:revisionPtr revIDLastSave="0" documentId="13_ncr:1_{5F79E745-6B14-4F48-B70A-5C34881AD5D0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97" i="2" l="1"/>
  <c r="L297" i="2"/>
  <c r="K297" i="2"/>
  <c r="I297" i="2"/>
  <c r="F297" i="2"/>
  <c r="E40" i="3"/>
  <c r="E29" i="3"/>
  <c r="E59" i="3"/>
  <c r="E51" i="3"/>
</calcChain>
</file>

<file path=xl/sharedStrings.xml><?xml version="1.0" encoding="utf-8"?>
<sst xmlns="http://schemas.openxmlformats.org/spreadsheetml/2006/main" count="2049" uniqueCount="331">
  <si>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</si>
  <si>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</si>
  <si>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</si>
  <si>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</si>
  <si>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</si>
  <si>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</si>
  <si>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</si>
  <si>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</si>
  <si>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</si>
  <si>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</si>
  <si>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</si>
  <si>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</si>
  <si>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</si>
  <si>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</si>
  <si>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</si>
  <si>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</si>
  <si>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</si>
  <si>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</si>
  <si>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</si>
  <si>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</si>
  <si>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</si>
  <si>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</si>
  <si>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</si>
  <si>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</si>
  <si>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</si>
  <si>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</si>
  <si>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</si>
  <si>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</si>
  <si>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</si>
  <si>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</si>
  <si>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</si>
  <si>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</si>
  <si>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</si>
  <si>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</si>
  <si>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</si>
  <si>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</si>
  <si>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</si>
  <si>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</si>
  <si>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</si>
  <si>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</si>
  <si>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</si>
  <si>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</si>
  <si>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</si>
  <si>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</si>
  <si>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</si>
  <si>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</si>
  <si>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</si>
  <si>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</si>
  <si>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</si>
  <si>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</si>
  <si>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</si>
  <si>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</si>
  <si>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</si>
  <si>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</si>
  <si>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</si>
  <si>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</si>
  <si>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</si>
  <si>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</si>
  <si>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</si>
  <si>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</si>
  <si>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</si>
  <si>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</si>
  <si>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</si>
  <si>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</si>
  <si>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</si>
  <si>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</si>
  <si>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</si>
  <si>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</si>
  <si>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</si>
  <si>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</si>
  <si>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</si>
  <si>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</si>
  <si>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</si>
  <si>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</si>
  <si>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</si>
  <si>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</si>
  <si>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</si>
  <si>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</si>
  <si>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</si>
  <si>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</si>
  <si>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</si>
  <si>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</si>
  <si>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</si>
  <si>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</si>
  <si>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</si>
  <si>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</si>
  <si>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</si>
  <si>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</si>
  <si>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</si>
  <si>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</si>
  <si>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</si>
  <si>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</si>
  <si>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</si>
  <si>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</si>
  <si>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</si>
  <si>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</si>
  <si>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</si>
  <si>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</si>
  <si>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</si>
  <si>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</si>
  <si>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</si>
  <si>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</si>
  <si>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</si>
  <si>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</si>
  <si>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</si>
  <si>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</si>
  <si>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</si>
  <si>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</si>
  <si>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</si>
  <si>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</si>
  <si>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</si>
  <si>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</si>
  <si>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</si>
  <si>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</si>
  <si>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</si>
  <si>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</si>
  <si>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</si>
  <si>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</si>
  <si>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</si>
  <si>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</si>
  <si>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</si>
  <si>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</si>
  <si>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</si>
  <si>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</si>
  <si>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</si>
  <si>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</si>
  <si>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</si>
  <si>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</si>
  <si>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</si>
  <si>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</si>
  <si>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</si>
  <si>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</si>
  <si>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</si>
  <si>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</si>
  <si>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</si>
  <si>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</si>
  <si>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</si>
  <si>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</si>
  <si>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</si>
  <si>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</si>
  <si>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</si>
  <si>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</si>
  <si>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</si>
  <si>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</si>
  <si>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</si>
  <si>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</si>
  <si>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</si>
  <si>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</si>
  <si>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</si>
  <si>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</si>
  <si>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</si>
  <si>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</si>
  <si>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</si>
  <si>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</si>
  <si>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</si>
  <si>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</si>
  <si>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</si>
  <si>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</si>
  <si>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</si>
  <si>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</si>
  <si>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</si>
  <si>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</si>
  <si>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</si>
  <si>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</si>
  <si>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</si>
  <si>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</si>
  <si>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</si>
  <si>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</si>
  <si>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</si>
  <si>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</si>
  <si>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</si>
  <si>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</si>
  <si>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</si>
  <si>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</si>
  <si>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</si>
  <si>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</si>
  <si>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</si>
  <si>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</si>
  <si>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</si>
  <si>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</si>
  <si>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</si>
  <si>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</si>
  <si>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</si>
  <si>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</si>
  <si>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</si>
  <si>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</si>
  <si>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</si>
  <si>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</si>
  <si>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</si>
  <si>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</si>
  <si>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</si>
  <si>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</si>
  <si>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</si>
  <si>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</si>
  <si>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</si>
  <si>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</si>
  <si>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</si>
  <si>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</si>
  <si>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</si>
  <si>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</si>
  <si>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</si>
  <si>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</si>
  <si>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</si>
  <si>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</si>
  <si>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</si>
  <si>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</si>
  <si>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</si>
  <si>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</si>
  <si>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</si>
  <si>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</si>
  <si>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</si>
  <si>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</si>
  <si>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</si>
  <si>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</si>
  <si>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</si>
  <si>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</si>
  <si>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</si>
  <si>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</si>
  <si>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</si>
  <si>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</si>
  <si>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</si>
  <si>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</si>
  <si>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</si>
  <si>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</si>
  <si>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</si>
  <si>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</si>
  <si>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</si>
  <si>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</si>
  <si>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</si>
  <si>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</si>
  <si>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</si>
  <si>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</si>
  <si>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</si>
  <si>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</si>
  <si>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</si>
  <si>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</si>
  <si>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</si>
  <si>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</si>
  <si>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</si>
  <si>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</si>
  <si>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</si>
  <si>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</si>
  <si>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</si>
  <si>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</si>
  <si>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</si>
  <si>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</si>
  <si>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</si>
  <si>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</si>
  <si>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</si>
  <si>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</si>
  <si>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</si>
  <si>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</si>
  <si>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</si>
  <si>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</si>
  <si>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</si>
  <si>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</si>
  <si>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</si>
  <si>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</si>
  <si>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</si>
  <si>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</si>
  <si>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</si>
  <si>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</si>
  <si>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</si>
  <si>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</si>
  <si>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</si>
  <si>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</si>
  <si>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</si>
  <si>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</si>
  <si>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</si>
  <si>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</si>
  <si>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</si>
  <si>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</si>
  <si>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</si>
  <si>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</si>
  <si>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</si>
  <si>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</si>
  <si>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</si>
  <si>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</si>
  <si>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</si>
  <si>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</si>
  <si>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</si>
  <si>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</si>
  <si>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</si>
  <si>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</si>
  <si>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</si>
  <si>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</si>
  <si>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</si>
  <si>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</si>
  <si>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</si>
  <si>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</si>
  <si>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</si>
  <si>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</si>
  <si>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</si>
  <si>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</si>
  <si>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</si>
  <si>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</si>
  <si>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</si>
  <si>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</si>
  <si>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</si>
  <si>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</si>
  <si>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</si>
  <si>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</si>
  <si>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</si>
  <si>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</si>
  <si>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</si>
  <si>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</si>
  <si>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</si>
  <si>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</si>
  <si>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negocios que devem ser respondidas na análise de dados específica</t>
  </si>
  <si>
    <t>Rótulos de Linha</t>
  </si>
  <si>
    <t>Total Geral</t>
  </si>
  <si>
    <t>Soma de Total Value</t>
  </si>
  <si>
    <r>
      <t>PN 2) Qual faturamento</t>
    </r>
    <r>
      <rPr>
        <b/>
        <sz val="10"/>
        <rFont val="Aptos Narrow"/>
        <family val="2"/>
        <scheme val="minor"/>
      </rPr>
      <t xml:space="preserve"> total de vendas</t>
    </r>
    <r>
      <rPr>
        <sz val="10"/>
        <rFont val="Aptos Narrow"/>
        <family val="2"/>
        <scheme val="minor"/>
      </rPr>
      <t xml:space="preserve"> de </t>
    </r>
    <r>
      <rPr>
        <b/>
        <sz val="10"/>
        <rFont val="Aptos Narrow"/>
        <family val="2"/>
        <scheme val="minor"/>
      </rPr>
      <t>planos anuais</t>
    </r>
    <r>
      <rPr>
        <sz val="10"/>
        <rFont val="Aptos Narrow"/>
        <family val="2"/>
        <scheme val="minor"/>
      </rPr>
      <t xml:space="preserve"> (separado por autorenovação e não por auto renovação)</t>
    </r>
  </si>
  <si>
    <r>
      <t>PN 1) Qual faturamento</t>
    </r>
    <r>
      <rPr>
        <b/>
        <sz val="10"/>
        <rFont val="Aptos Narrow"/>
        <family val="2"/>
        <scheme val="minor"/>
      </rPr>
      <t xml:space="preserve"> total de vendas</t>
    </r>
    <r>
      <rPr>
        <sz val="10"/>
        <rFont val="Aptos Narrow"/>
        <family val="2"/>
        <scheme val="minor"/>
      </rPr>
      <t xml:space="preserve"> de </t>
    </r>
    <r>
      <rPr>
        <b/>
        <sz val="10"/>
        <rFont val="Aptos Narrow"/>
        <family val="2"/>
        <scheme val="minor"/>
      </rPr>
      <t>planos anuais</t>
    </r>
    <r>
      <rPr>
        <sz val="10"/>
        <rFont val="Aptos Narrow"/>
        <family val="2"/>
        <scheme val="minor"/>
      </rPr>
      <t xml:space="preserve"> (contendo todas as assinaturas agregadas)</t>
    </r>
  </si>
  <si>
    <t>Auto Renovável?</t>
  </si>
  <si>
    <t>#2AE6B1</t>
  </si>
  <si>
    <t>#E8E6E9</t>
  </si>
  <si>
    <t>#5BF6A8</t>
  </si>
  <si>
    <t>#22C55E</t>
  </si>
  <si>
    <t>#9BC848</t>
  </si>
  <si>
    <t>XBOX GAME PASS SUBSCRIPTIONS SALES</t>
  </si>
  <si>
    <r>
      <t>PN 3)</t>
    </r>
    <r>
      <rPr>
        <b/>
        <sz val="10"/>
        <rFont val="Aptos Narrow"/>
        <family val="2"/>
        <scheme val="minor"/>
      </rPr>
      <t xml:space="preserve"> Total de vendas</t>
    </r>
    <r>
      <rPr>
        <sz val="10"/>
        <rFont val="Aptos Narrow"/>
        <family val="2"/>
        <scheme val="minor"/>
      </rPr>
      <t xml:space="preserve"> de Assinaturas do</t>
    </r>
    <r>
      <rPr>
        <b/>
        <sz val="10"/>
        <rFont val="Aptos Narrow"/>
        <family val="2"/>
        <scheme val="minor"/>
      </rPr>
      <t xml:space="preserve"> EA Play</t>
    </r>
  </si>
  <si>
    <t>Soma de EA Play Season Pass</t>
  </si>
  <si>
    <r>
      <t>PN 4)</t>
    </r>
    <r>
      <rPr>
        <b/>
        <sz val="10"/>
        <color theme="1"/>
        <rFont val="Aptos Narrow"/>
        <family val="2"/>
        <scheme val="minor"/>
      </rPr>
      <t xml:space="preserve"> Total de Vendas</t>
    </r>
    <r>
      <rPr>
        <sz val="10"/>
        <color theme="1"/>
        <rFont val="Aptos Narrow"/>
        <family val="2"/>
        <scheme val="minor"/>
      </rPr>
      <t xml:space="preserve"> de Assinaturas do</t>
    </r>
    <r>
      <rPr>
        <b/>
        <sz val="10"/>
        <color theme="1"/>
        <rFont val="Aptos Narrow"/>
        <family val="2"/>
        <scheme val="minor"/>
      </rPr>
      <t xml:space="preserve"> Minecraft Season Pass</t>
    </r>
  </si>
  <si>
    <t>Soma de Minecraft Season Pass Price</t>
  </si>
  <si>
    <t>PN 5) Receita Total</t>
  </si>
  <si>
    <t>(Tudo)</t>
  </si>
  <si>
    <t>PN 6) Ticket Medio</t>
  </si>
  <si>
    <t>Contagem de Plan</t>
  </si>
  <si>
    <t>PN 7) Receita por Plano</t>
  </si>
  <si>
    <t>Receita por 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</si>
</sst>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5" formatCode="&quot;R$&quot;#,##0.00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164" fontId="4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7" fillId="0" borderId="0" xfId="0" applyFont="1" applyFill="1"/>
    <xf numFmtId="0" fontId="8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0" fillId="0" borderId="2" xfId="1" applyFont="1" applyBorder="1"/>
    <xf numFmtId="165" fontId="7" fillId="4" borderId="0" xfId="0" applyNumberFormat="1" applyFont="1" applyFill="1"/>
    <xf numFmtId="0" fontId="2" fillId="0" borderId="0" xfId="0" applyFont="1" applyAlignment="1">
      <alignment horizontal="left"/>
    </xf>
    <xf numFmtId="0" fontId="11" fillId="0" borderId="2" xfId="1" applyFont="1" applyBorder="1" applyAlignment="1">
      <alignment horizontal="left" indent="7"/>
    </xf>
    <xf numFmtId="165" fontId="7" fillId="0" borderId="0" xfId="0" applyNumberFormat="1" applyFont="1" applyFill="1"/>
    <xf numFmtId="0" fontId="0" fillId="0" borderId="0" xfId="0" applyNumberFormat="1"/>
    <xf numFmtId="164" fontId="0" fillId="0" borderId="0" xfId="0" applyNumberFormat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47"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35" formatCode="_-* #,##0.00_-;\-* #,##0.00_-;_-* &quot;-&quot;??_-;_-@_-"/>
    </dxf>
    <dxf>
      <numFmt numFmtId="165" formatCode="&quot;R$&quot;#,##0.00"/>
    </dxf>
    <dxf>
      <numFmt numFmtId="35" formatCode="_-* #,##0.00_-;\-* #,##0.00_-;_-* &quot;-&quot;??_-;_-@_-"/>
    </dxf>
    <dxf>
      <numFmt numFmtId="0" formatCode="General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numFmt numFmtId="165" formatCode="&quot;R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28A3F41-5864-4949-BB3F-5154C0C1C613}">
      <tableStyleElement type="wholeTable" dxfId="46"/>
      <tableStyleElement type="headerRow" dxfId="45"/>
    </tableStyle>
  </tableStyles>
  <colors>
    <mruColors>
      <color rgb="FF22C55E"/>
      <color rgb="FF5BF6A8"/>
      <color rgb="FF2AE6B1"/>
      <color rgb="FFE8E6E9"/>
      <color rgb="FF9BC84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Dashboard_xbox vf.xlsx]C̳álculos!tbl_totalVendas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953388207351929"/>
          <c:y val="8.6003289776136846E-2"/>
          <c:w val="0.45304328217047346"/>
          <c:h val="0.83766249280357363"/>
        </c:manualLayout>
      </c:layout>
      <c:pieChart>
        <c:varyColors val="1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</c:spPr>
          <c:dPt>
            <c:idx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8A-4A8B-8D14-F4196607AE6B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B5-4311-98D1-FA99D1FCA3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A-4A8B-8D14-F4196607A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80677770687065"/>
          <c:y val="0.37826228363515296"/>
          <c:w val="0.11031207496568464"/>
          <c:h val="0.20432379024892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Dashboard_xbox vf.xlsx]C̳álculos!Tabela dinâmica3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9BC84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583564409150707"/>
          <c:y val="4.2666663408892316E-2"/>
          <c:w val="0.73833776634459514"/>
          <c:h val="0.91466667318221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87-4EBD-9195-6B747E132900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87-4EBD-9195-6B747E132900}"/>
              </c:ext>
            </c:extLst>
          </c:dPt>
          <c:dPt>
            <c:idx val="2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87-4EBD-9195-6B747E1329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C̳álculos!$B$68:$B$71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C̳álculos!$C$68:$C$71</c:f>
              <c:numCache>
                <c:formatCode>"R$"#,##0.00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7-4EBD-9195-6B747E132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7921711"/>
        <c:axId val="457381231"/>
      </c:barChart>
      <c:catAx>
        <c:axId val="21792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2C55E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pt-BR"/>
          </a:p>
        </c:txPr>
        <c:crossAx val="457381231"/>
        <c:crosses val="autoZero"/>
        <c:auto val="1"/>
        <c:lblAlgn val="ctr"/>
        <c:lblOffset val="100"/>
        <c:noMultiLvlLbl val="0"/>
      </c:catAx>
      <c:valAx>
        <c:axId val="457381231"/>
        <c:scaling>
          <c:orientation val="minMax"/>
        </c:scaling>
        <c:delete val="1"/>
        <c:axPos val="b"/>
        <c:numFmt formatCode="&quot;R$&quot;#,##0.00" sourceLinked="1"/>
        <c:majorTickMark val="none"/>
        <c:minorTickMark val="none"/>
        <c:tickLblPos val="nextTo"/>
        <c:crossAx val="2179217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5" Type="http://schemas.openxmlformats.org/officeDocument/2006/relationships/image" Target="../media/image13.png"/><Relationship Id="rId10" Type="http://schemas.openxmlformats.org/officeDocument/2006/relationships/chart" Target="../charts/chart2.xml"/><Relationship Id="rId4" Type="http://schemas.openxmlformats.org/officeDocument/2006/relationships/image" Target="../media/image5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27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00965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47626</xdr:colOff>
      <xdr:row>23</xdr:row>
      <xdr:rowOff>104775</xdr:rowOff>
    </xdr:from>
    <xdr:to>
      <xdr:col>6</xdr:col>
      <xdr:colOff>576444</xdr:colOff>
      <xdr:row>26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A417FE-152C-B870-7E54-697EEF018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05226" y="4638675"/>
          <a:ext cx="528818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29</xdr:row>
      <xdr:rowOff>0</xdr:rowOff>
    </xdr:from>
    <xdr:to>
      <xdr:col>7</xdr:col>
      <xdr:colOff>75735</xdr:colOff>
      <xdr:row>31</xdr:row>
      <xdr:rowOff>152400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AD52D7B-2788-54E7-7D10-5F8FB186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29050" y="5676900"/>
          <a:ext cx="51388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238125</xdr:colOff>
      <xdr:row>0</xdr:row>
      <xdr:rowOff>140227</xdr:rowOff>
    </xdr:from>
    <xdr:to>
      <xdr:col>2</xdr:col>
      <xdr:colOff>547687</xdr:colOff>
      <xdr:row>2</xdr:row>
      <xdr:rowOff>295008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6F3C5C-8B9E-4EF7-A58C-A1667C77E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8750" r="71534" b="19791"/>
        <a:stretch/>
      </xdr:blipFill>
      <xdr:spPr>
        <a:xfrm>
          <a:off x="2354792" y="140227"/>
          <a:ext cx="711728" cy="694531"/>
        </a:xfrm>
        <a:prstGeom prst="rect">
          <a:avLst/>
        </a:prstGeom>
      </xdr:spPr>
    </xdr:pic>
    <xdr:clientData/>
  </xdr:twoCellAnchor>
  <xdr:twoCellAnchor editAs="oneCell">
    <xdr:from>
      <xdr:col>0</xdr:col>
      <xdr:colOff>147745</xdr:colOff>
      <xdr:row>8</xdr:row>
      <xdr:rowOff>6310</xdr:rowOff>
    </xdr:from>
    <xdr:to>
      <xdr:col>0</xdr:col>
      <xdr:colOff>2035968</xdr:colOff>
      <xdr:row>16</xdr:row>
      <xdr:rowOff>6310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02E67565-59B0-4362-BDBC-E093D2A634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745" y="1619957"/>
              <a:ext cx="1888223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393803</xdr:colOff>
      <xdr:row>6</xdr:row>
      <xdr:rowOff>9259</xdr:rowOff>
    </xdr:from>
    <xdr:to>
      <xdr:col>5</xdr:col>
      <xdr:colOff>435335</xdr:colOff>
      <xdr:row>12</xdr:row>
      <xdr:rowOff>17198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BB573A26-1142-8094-061A-7CDE7CB4C976}"/>
            </a:ext>
          </a:extLst>
        </xdr:cNvPr>
        <xdr:cNvGrpSpPr/>
      </xdr:nvGrpSpPr>
      <xdr:grpSpPr>
        <a:xfrm>
          <a:off x="2511715" y="1275524"/>
          <a:ext cx="2260296" cy="1117321"/>
          <a:chOff x="2671869" y="1273969"/>
          <a:chExt cx="4145541" cy="1452562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2619A8B-5316-9103-5BFC-340DFE432E42}"/>
              </a:ext>
            </a:extLst>
          </xdr:cNvPr>
          <xdr:cNvGrpSpPr/>
        </xdr:nvGrpSpPr>
        <xdr:grpSpPr>
          <a:xfrm>
            <a:off x="2671869" y="1273969"/>
            <a:ext cx="4145541" cy="1452562"/>
            <a:chOff x="2488405" y="1273969"/>
            <a:chExt cx="5167314" cy="1452562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998FED62-4457-AD73-C0BF-34BBC58D41E5}"/>
                </a:ext>
              </a:extLst>
            </xdr:cNvPr>
            <xdr:cNvSpPr/>
          </xdr:nvSpPr>
          <xdr:spPr>
            <a:xfrm>
              <a:off x="2488405" y="1273969"/>
              <a:ext cx="5167313" cy="1452562"/>
            </a:xfrm>
            <a:prstGeom prst="roundRect">
              <a:avLst>
                <a:gd name="adj" fmla="val 904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$E$29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7C19A2F3-F057-4612-B351-3E8904998889}"/>
                </a:ext>
              </a:extLst>
            </xdr:cNvPr>
            <xdr:cNvSpPr/>
          </xdr:nvSpPr>
          <xdr:spPr>
            <a:xfrm>
              <a:off x="3887887" y="2039157"/>
              <a:ext cx="3476623" cy="634628"/>
            </a:xfrm>
            <a:prstGeom prst="roundRect">
              <a:avLst>
                <a:gd name="adj" fmla="val 904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58C9F8E-A987-40A4-8BBC-35938D75D739}" type="TxLink">
                <a:rPr lang="en-US" sz="1800" b="0" i="0" u="none" strike="noStrike">
                  <a:solidFill>
                    <a:srgbClr val="22C55E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rPr>
                <a:pPr algn="ctr"/>
                <a:t>R$600,00</a:t>
              </a:fld>
              <a:endParaRPr lang="pt-BR" sz="1800" b="1">
                <a:solidFill>
                  <a:srgbClr val="22C55E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sp macro="" textlink="">
          <xdr:nvSpPr>
            <xdr:cNvPr id="15" name="Retângulo: Cantos Superiores Arredondados 14">
              <a:extLst>
                <a:ext uri="{FF2B5EF4-FFF2-40B4-BE49-F238E27FC236}">
                  <a16:creationId xmlns:a16="http://schemas.microsoft.com/office/drawing/2014/main" id="{BF02AA1E-1C69-1F33-15E8-BB5F5BC977B1}"/>
                </a:ext>
              </a:extLst>
            </xdr:cNvPr>
            <xdr:cNvSpPr/>
          </xdr:nvSpPr>
          <xdr:spPr>
            <a:xfrm>
              <a:off x="2489719" y="1273969"/>
              <a:ext cx="5166000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SALES EA PLAY SEASON PASS</a:t>
              </a:r>
            </a:p>
          </xdr:txBody>
        </xdr:sp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87448C07-3857-408E-BCEE-AE05CA890D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40432" y="2005720"/>
              <a:ext cx="1103116" cy="693587"/>
            </a:xfrm>
            <a:prstGeom prst="rect">
              <a:avLst/>
            </a:prstGeom>
          </xdr:spPr>
        </xdr:pic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C9BEEC94-F20C-4B7A-9E63-77495DE0DA70}"/>
              </a:ext>
            </a:extLst>
          </xdr:cNvPr>
          <xdr:cNvSpPr/>
        </xdr:nvSpPr>
        <xdr:spPr>
          <a:xfrm>
            <a:off x="2671869" y="1273969"/>
            <a:ext cx="4144486" cy="71636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>
                <a:latin typeface="Segoe UI" panose="020B0502040204020203" pitchFamily="34" charset="0"/>
                <a:cs typeface="Segoe UI" panose="020B0502040204020203" pitchFamily="34" charset="0"/>
              </a:rPr>
              <a:t>TOTAL </a:t>
            </a:r>
            <a:r>
              <a:rPr lang="pt-BR" sz="100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105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000">
                <a:latin typeface="Segoe UI" panose="020B0502040204020203" pitchFamily="34" charset="0"/>
                <a:cs typeface="Segoe UI" panose="020B0502040204020203" pitchFamily="34" charset="0"/>
              </a:rPr>
              <a:t>SALES</a:t>
            </a:r>
            <a:r>
              <a:rPr lang="pt-BR" sz="105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</a:p>
        </xdr:txBody>
      </xdr:sp>
    </xdr:grpSp>
    <xdr:clientData/>
  </xdr:twoCellAnchor>
  <xdr:twoCellAnchor>
    <xdr:from>
      <xdr:col>11</xdr:col>
      <xdr:colOff>128620</xdr:colOff>
      <xdr:row>13</xdr:row>
      <xdr:rowOff>142875</xdr:rowOff>
    </xdr:from>
    <xdr:to>
      <xdr:col>19</xdr:col>
      <xdr:colOff>464526</xdr:colOff>
      <xdr:row>30</xdr:row>
      <xdr:rowOff>104775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D9DC4AD0-DF5B-F756-DA5F-05D1773F81FC}"/>
            </a:ext>
          </a:extLst>
        </xdr:cNvPr>
        <xdr:cNvGrpSpPr/>
      </xdr:nvGrpSpPr>
      <xdr:grpSpPr>
        <a:xfrm>
          <a:off x="7771032" y="2709022"/>
          <a:ext cx="4885494" cy="3200400"/>
          <a:chOff x="2671767" y="2976564"/>
          <a:chExt cx="8719200" cy="3147259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E8EBE6C6-94B8-2711-1150-A02B2FFC3031}"/>
              </a:ext>
            </a:extLst>
          </xdr:cNvPr>
          <xdr:cNvGrpSpPr/>
        </xdr:nvGrpSpPr>
        <xdr:grpSpPr>
          <a:xfrm>
            <a:off x="2678905" y="2976564"/>
            <a:ext cx="8712000" cy="3147259"/>
            <a:chOff x="2512218" y="1291172"/>
            <a:chExt cx="3417094" cy="2692522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52EDD066-A907-D1E2-EB3A-FA52A23C91D1}"/>
                </a:ext>
              </a:extLst>
            </xdr:cNvPr>
            <xdr:cNvSpPr/>
          </xdr:nvSpPr>
          <xdr:spPr>
            <a:xfrm>
              <a:off x="2512218" y="1291172"/>
              <a:ext cx="3417094" cy="2678906"/>
            </a:xfrm>
            <a:prstGeom prst="roundRect">
              <a:avLst>
                <a:gd name="adj" fmla="val 575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377CBDB6-CD67-4EF4-A18D-B43FF75A2D69}"/>
                </a:ext>
              </a:extLst>
            </xdr:cNvPr>
            <xdr:cNvGraphicFramePr>
              <a:graphicFrameLocks/>
            </xdr:cNvGraphicFramePr>
          </xdr:nvGraphicFramePr>
          <xdr:xfrm>
            <a:off x="2535456" y="1741929"/>
            <a:ext cx="3376389" cy="224176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8D98E3D6-9A06-493A-A48B-CB042F912F4A}"/>
              </a:ext>
            </a:extLst>
          </xdr:cNvPr>
          <xdr:cNvSpPr/>
        </xdr:nvSpPr>
        <xdr:spPr>
          <a:xfrm>
            <a:off x="2671767" y="2976762"/>
            <a:ext cx="8719200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200" baseline="0">
                <a:latin typeface="Segoe UI" panose="020B0502040204020203" pitchFamily="34" charset="0"/>
                <a:cs typeface="Segoe UI" panose="020B0502040204020203" pitchFamily="34" charset="0"/>
              </a:rPr>
              <a:t> GAME </a:t>
            </a: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</a:p>
        </xdr:txBody>
      </xdr:sp>
    </xdr:grpSp>
    <xdr:clientData/>
  </xdr:twoCellAnchor>
  <xdr:twoCellAnchor editAs="absolute">
    <xdr:from>
      <xdr:col>0</xdr:col>
      <xdr:colOff>104511</xdr:colOff>
      <xdr:row>3</xdr:row>
      <xdr:rowOff>107780</xdr:rowOff>
    </xdr:from>
    <xdr:to>
      <xdr:col>0</xdr:col>
      <xdr:colOff>2021417</xdr:colOff>
      <xdr:row>5</xdr:row>
      <xdr:rowOff>27705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BE9D762-62D8-A2E8-4E1C-7EDB18546980}"/>
            </a:ext>
          </a:extLst>
        </xdr:cNvPr>
        <xdr:cNvSpPr/>
      </xdr:nvSpPr>
      <xdr:spPr>
        <a:xfrm>
          <a:off x="104511" y="959427"/>
          <a:ext cx="1916906" cy="2224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vinda, Fulana de Tal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582707</xdr:colOff>
      <xdr:row>0</xdr:row>
      <xdr:rowOff>202406</xdr:rowOff>
    </xdr:from>
    <xdr:to>
      <xdr:col>0</xdr:col>
      <xdr:colOff>1437855</xdr:colOff>
      <xdr:row>3</xdr:row>
      <xdr:rowOff>134471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D0DF085-0CBA-4317-AE14-FB62BFE38613}"/>
            </a:ext>
          </a:extLst>
        </xdr:cNvPr>
        <xdr:cNvSpPr/>
      </xdr:nvSpPr>
      <xdr:spPr>
        <a:xfrm>
          <a:off x="582707" y="202406"/>
          <a:ext cx="855148" cy="78371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296334</xdr:colOff>
      <xdr:row>3</xdr:row>
      <xdr:rowOff>10583</xdr:rowOff>
    </xdr:from>
    <xdr:to>
      <xdr:col>10</xdr:col>
      <xdr:colOff>338667</xdr:colOff>
      <xdr:row>4</xdr:row>
      <xdr:rowOff>74083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388323-9F0B-481E-B83B-4C23EDA298E0}"/>
            </a:ext>
          </a:extLst>
        </xdr:cNvPr>
        <xdr:cNvSpPr/>
      </xdr:nvSpPr>
      <xdr:spPr>
        <a:xfrm>
          <a:off x="2413001" y="867833"/>
          <a:ext cx="5016499" cy="25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 01/01/2024 - 31/12/2024 | Update date: 05/01/2025 10:00:00</a:t>
          </a:r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198274</xdr:colOff>
      <xdr:row>6</xdr:row>
      <xdr:rowOff>9259</xdr:rowOff>
    </xdr:from>
    <xdr:to>
      <xdr:col>10</xdr:col>
      <xdr:colOff>370774</xdr:colOff>
      <xdr:row>12</xdr:row>
      <xdr:rowOff>17198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18EB7AF4-F00F-56AA-5844-0346E428808D}"/>
            </a:ext>
          </a:extLst>
        </xdr:cNvPr>
        <xdr:cNvGrpSpPr/>
      </xdr:nvGrpSpPr>
      <xdr:grpSpPr>
        <a:xfrm>
          <a:off x="5140068" y="1275524"/>
          <a:ext cx="2268000" cy="1117321"/>
          <a:chOff x="4942258" y="1263650"/>
          <a:chExt cx="2322142" cy="1153584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DD28ED1F-76B8-4742-9E20-72447CC6350F}"/>
              </a:ext>
            </a:extLst>
          </xdr:cNvPr>
          <xdr:cNvGrpSpPr/>
        </xdr:nvGrpSpPr>
        <xdr:grpSpPr>
          <a:xfrm>
            <a:off x="4942258" y="1263650"/>
            <a:ext cx="2322142" cy="1153584"/>
            <a:chOff x="2671869" y="1273969"/>
            <a:chExt cx="4145541" cy="1452562"/>
          </a:xfrm>
        </xdr:grpSpPr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7568EA97-959A-C951-938B-9CC184FAF2D9}"/>
                </a:ext>
              </a:extLst>
            </xdr:cNvPr>
            <xdr:cNvGrpSpPr/>
          </xdr:nvGrpSpPr>
          <xdr:grpSpPr>
            <a:xfrm>
              <a:off x="2671869" y="1273969"/>
              <a:ext cx="4145541" cy="1452562"/>
              <a:chOff x="2488405" y="1273969"/>
              <a:chExt cx="5167314" cy="1452562"/>
            </a:xfrm>
          </xdr:grpSpPr>
          <xdr:sp macro="" textlink="">
            <xdr:nvSpPr>
              <xdr:cNvPr id="18" name="Retângulo: Cantos Arredondados 17">
                <a:extLst>
                  <a:ext uri="{FF2B5EF4-FFF2-40B4-BE49-F238E27FC236}">
                    <a16:creationId xmlns:a16="http://schemas.microsoft.com/office/drawing/2014/main" id="{B9FD696D-68AE-DD1C-B75C-4A57BDD7B0D0}"/>
                  </a:ext>
                </a:extLst>
              </xdr:cNvPr>
              <xdr:cNvSpPr/>
            </xdr:nvSpPr>
            <xdr:spPr>
              <a:xfrm>
                <a:off x="2488405" y="1273969"/>
                <a:ext cx="5167313" cy="1452562"/>
              </a:xfrm>
              <a:prstGeom prst="roundRect">
                <a:avLst>
                  <a:gd name="adj" fmla="val 904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$E$40">
            <xdr:nvSpPr>
              <xdr:cNvPr id="23" name="Retângulo: Cantos Arredondados 22">
                <a:extLst>
                  <a:ext uri="{FF2B5EF4-FFF2-40B4-BE49-F238E27FC236}">
                    <a16:creationId xmlns:a16="http://schemas.microsoft.com/office/drawing/2014/main" id="{8C68341A-DE1D-F332-54EF-DB3C5F099CDD}"/>
                  </a:ext>
                </a:extLst>
              </xdr:cNvPr>
              <xdr:cNvSpPr/>
            </xdr:nvSpPr>
            <xdr:spPr>
              <a:xfrm>
                <a:off x="3887886" y="2053725"/>
                <a:ext cx="3476625" cy="634628"/>
              </a:xfrm>
              <a:prstGeom prst="roundRect">
                <a:avLst>
                  <a:gd name="adj" fmla="val 904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45335C40-8BD5-4B16-B982-4EB07FD8A811}" type="TxLink">
                  <a:rPr lang="en-US" sz="1800" b="0" i="0" u="none" strike="noStrike">
                    <a:solidFill>
                      <a:srgbClr val="22C55E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pPr algn="ctr"/>
                  <a:t>R$940,00</a:t>
                </a:fld>
                <a:endParaRPr lang="pt-BR" sz="1800" b="1">
                  <a:solidFill>
                    <a:srgbClr val="22C55E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xdr:txBody>
          </xdr:sp>
          <xdr:sp macro="" textlink="">
            <xdr:nvSpPr>
              <xdr:cNvPr id="32" name="Retângulo: Cantos Superiores Arredondados 31">
                <a:extLst>
                  <a:ext uri="{FF2B5EF4-FFF2-40B4-BE49-F238E27FC236}">
                    <a16:creationId xmlns:a16="http://schemas.microsoft.com/office/drawing/2014/main" id="{A73AF943-F792-E6A2-8557-BF962FE29C1F}"/>
                  </a:ext>
                </a:extLst>
              </xdr:cNvPr>
              <xdr:cNvSpPr/>
            </xdr:nvSpPr>
            <xdr:spPr>
              <a:xfrm>
                <a:off x="2489719" y="1273969"/>
                <a:ext cx="5166000" cy="523875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2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SALES EA PLAY SEASON PASS</a:t>
                </a:r>
              </a:p>
            </xdr:txBody>
          </xdr:sp>
        </xdr:grpSp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F0AD4FC8-72CF-4B99-6180-132DDFBDDA81}"/>
                </a:ext>
              </a:extLst>
            </xdr:cNvPr>
            <xdr:cNvSpPr/>
          </xdr:nvSpPr>
          <xdr:spPr>
            <a:xfrm>
              <a:off x="2671869" y="1273969"/>
              <a:ext cx="4144486" cy="73093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SALES MINECRAFT SEASON PASS</a:t>
              </a:r>
              <a:endParaRPr lang="pt-BR" sz="1050">
                <a:effectLst/>
              </a:endParaRPr>
            </a:p>
          </xdr:txBody>
        </xdr:sp>
      </xdr:grp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D8244A3D-01A4-4C7E-8F23-4B284EDD5727}"/>
              </a:ext>
            </a:extLst>
          </xdr:cNvPr>
          <xdr:cNvGrpSpPr/>
        </xdr:nvGrpSpPr>
        <xdr:grpSpPr>
          <a:xfrm>
            <a:off x="5143499" y="1857021"/>
            <a:ext cx="486833" cy="523516"/>
            <a:chOff x="3495675" y="5494154"/>
            <a:chExt cx="1549476" cy="845956"/>
          </a:xfrm>
        </xdr:grpSpPr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3F9603B4-B519-7DF1-6B2A-3CBCF02131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7" y="5494154"/>
              <a:ext cx="555496" cy="609599"/>
            </a:xfrm>
            <a:prstGeom prst="rect">
              <a:avLst/>
            </a:prstGeom>
          </xdr:spPr>
        </xdr:pic>
        <xdr:pic>
          <xdr:nvPicPr>
            <xdr:cNvPr id="36" name="Gráfico 35">
              <a:extLst>
                <a:ext uri="{FF2B5EF4-FFF2-40B4-BE49-F238E27FC236}">
                  <a16:creationId xmlns:a16="http://schemas.microsoft.com/office/drawing/2014/main" id="{8F52B5DF-39F5-D6B7-85C2-BB00419726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6082896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11</xdr:col>
      <xdr:colOff>111222</xdr:colOff>
      <xdr:row>6</xdr:row>
      <xdr:rowOff>9259</xdr:rowOff>
    </xdr:from>
    <xdr:to>
      <xdr:col>15</xdr:col>
      <xdr:colOff>117035</xdr:colOff>
      <xdr:row>12</xdr:row>
      <xdr:rowOff>17198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79074DBF-0526-1103-8D1A-F100FF195DB3}"/>
            </a:ext>
          </a:extLst>
        </xdr:cNvPr>
        <xdr:cNvGrpSpPr/>
      </xdr:nvGrpSpPr>
      <xdr:grpSpPr>
        <a:xfrm>
          <a:off x="7753634" y="1275524"/>
          <a:ext cx="2258195" cy="1117321"/>
          <a:chOff x="7755036" y="1283231"/>
          <a:chExt cx="2308913" cy="1150939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BD4CCF86-4136-75E4-C626-97069FB269A1}"/>
              </a:ext>
            </a:extLst>
          </xdr:cNvPr>
          <xdr:cNvGrpSpPr/>
        </xdr:nvGrpSpPr>
        <xdr:grpSpPr>
          <a:xfrm>
            <a:off x="7755036" y="1283231"/>
            <a:ext cx="2308913" cy="1150939"/>
            <a:chOff x="2671869" y="1273969"/>
            <a:chExt cx="4145541" cy="1452562"/>
          </a:xfrm>
        </xdr:grpSpPr>
        <xdr:grpSp>
          <xdr:nvGrpSpPr>
            <xdr:cNvPr id="43" name="Agrupar 42">
              <a:extLst>
                <a:ext uri="{FF2B5EF4-FFF2-40B4-BE49-F238E27FC236}">
                  <a16:creationId xmlns:a16="http://schemas.microsoft.com/office/drawing/2014/main" id="{E28B6D70-98D7-2DA2-0001-D49060C82745}"/>
                </a:ext>
              </a:extLst>
            </xdr:cNvPr>
            <xdr:cNvGrpSpPr/>
          </xdr:nvGrpSpPr>
          <xdr:grpSpPr>
            <a:xfrm>
              <a:off x="2671869" y="1273969"/>
              <a:ext cx="4145541" cy="1452562"/>
              <a:chOff x="2488405" y="1273969"/>
              <a:chExt cx="5167314" cy="1452562"/>
            </a:xfrm>
          </xdr:grpSpPr>
          <xdr:sp macro="" textlink="">
            <xdr:nvSpPr>
              <xdr:cNvPr id="45" name="Retângulo: Cantos Arredondados 44">
                <a:extLst>
                  <a:ext uri="{FF2B5EF4-FFF2-40B4-BE49-F238E27FC236}">
                    <a16:creationId xmlns:a16="http://schemas.microsoft.com/office/drawing/2014/main" id="{3FC233C1-B18C-C313-5404-B01FB15DC417}"/>
                  </a:ext>
                </a:extLst>
              </xdr:cNvPr>
              <xdr:cNvSpPr/>
            </xdr:nvSpPr>
            <xdr:spPr>
              <a:xfrm>
                <a:off x="2488405" y="1273969"/>
                <a:ext cx="5167313" cy="1452562"/>
              </a:xfrm>
              <a:prstGeom prst="roundRect">
                <a:avLst>
                  <a:gd name="adj" fmla="val 904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$E$51">
            <xdr:nvSpPr>
              <xdr:cNvPr id="46" name="Retângulo: Cantos Arredondados 45">
                <a:extLst>
                  <a:ext uri="{FF2B5EF4-FFF2-40B4-BE49-F238E27FC236}">
                    <a16:creationId xmlns:a16="http://schemas.microsoft.com/office/drawing/2014/main" id="{F23C18B0-6FB1-0006-B6D4-97436E25747A}"/>
                  </a:ext>
                </a:extLst>
              </xdr:cNvPr>
              <xdr:cNvSpPr/>
            </xdr:nvSpPr>
            <xdr:spPr>
              <a:xfrm>
                <a:off x="3817235" y="2077743"/>
                <a:ext cx="3476625" cy="609364"/>
              </a:xfrm>
              <a:prstGeom prst="roundRect">
                <a:avLst>
                  <a:gd name="adj" fmla="val 904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6772DB7D-FE7D-4AE6-AB39-05618B3A1CB7}" type="TxLink">
                  <a:rPr lang="en-US" sz="1800" b="0" i="0" u="none" strike="noStrike">
                    <a:solidFill>
                      <a:srgbClr val="22C55E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pPr algn="ctr"/>
                  <a:t>R$1.754,00</a:t>
                </a:fld>
                <a:endParaRPr lang="pt-BR" sz="1800" b="1">
                  <a:solidFill>
                    <a:srgbClr val="22C55E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xdr:txBody>
          </xdr:sp>
          <xdr:sp macro="" textlink="">
            <xdr:nvSpPr>
              <xdr:cNvPr id="47" name="Retângulo: Cantos Superiores Arredondados 46">
                <a:extLst>
                  <a:ext uri="{FF2B5EF4-FFF2-40B4-BE49-F238E27FC236}">
                    <a16:creationId xmlns:a16="http://schemas.microsoft.com/office/drawing/2014/main" id="{BDD668B5-ACB9-6299-B10A-7E026E6331AD}"/>
                  </a:ext>
                </a:extLst>
              </xdr:cNvPr>
              <xdr:cNvSpPr/>
            </xdr:nvSpPr>
            <xdr:spPr>
              <a:xfrm>
                <a:off x="2489719" y="1273969"/>
                <a:ext cx="5166000" cy="523875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2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SALES EA PLAY SEASON PASS</a:t>
                </a:r>
              </a:p>
            </xdr:txBody>
          </xdr:sp>
        </xdr:grpSp>
        <xdr:sp macro="" textlink="">
          <xdr:nvSpPr>
            <xdr:cNvPr id="44" name="Retângulo: Cantos Superiores Arredondados 43">
              <a:extLst>
                <a:ext uri="{FF2B5EF4-FFF2-40B4-BE49-F238E27FC236}">
                  <a16:creationId xmlns:a16="http://schemas.microsoft.com/office/drawing/2014/main" id="{9B0D07BC-B6EE-1693-EB7F-920D5A196018}"/>
                </a:ext>
              </a:extLst>
            </xdr:cNvPr>
            <xdr:cNvSpPr/>
          </xdr:nvSpPr>
          <xdr:spPr>
            <a:xfrm>
              <a:off x="2671869" y="1273969"/>
              <a:ext cx="4144487" cy="73093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</a:t>
              </a:r>
              <a:r>
                <a:rPr lang="pt-BR" sz="11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REVENUE</a:t>
              </a:r>
              <a:endParaRPr lang="pt-BR" sz="1050">
                <a:effectLst/>
              </a:endParaRPr>
            </a:p>
          </xdr:txBody>
        </xdr:sp>
      </xdr:grp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174E07BB-F027-4C8C-8A44-B1DD62280A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920302" y="1920020"/>
            <a:ext cx="535433" cy="485775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479266</xdr:colOff>
      <xdr:row>6</xdr:row>
      <xdr:rowOff>9259</xdr:rowOff>
    </xdr:from>
    <xdr:to>
      <xdr:col>19</xdr:col>
      <xdr:colOff>449359</xdr:colOff>
      <xdr:row>12</xdr:row>
      <xdr:rowOff>17198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B51FFDBD-77B9-E3E9-973B-D008899E5174}"/>
            </a:ext>
          </a:extLst>
        </xdr:cNvPr>
        <xdr:cNvGrpSpPr/>
      </xdr:nvGrpSpPr>
      <xdr:grpSpPr>
        <a:xfrm>
          <a:off x="10374060" y="1275524"/>
          <a:ext cx="2267299" cy="1117321"/>
          <a:chOff x="10385266" y="1283231"/>
          <a:chExt cx="2302299" cy="1150939"/>
        </a:xfrm>
      </xdr:grpSpPr>
      <xdr:grpSp>
        <xdr:nvGrpSpPr>
          <xdr:cNvPr id="49" name="Agrupar 48">
            <a:extLst>
              <a:ext uri="{FF2B5EF4-FFF2-40B4-BE49-F238E27FC236}">
                <a16:creationId xmlns:a16="http://schemas.microsoft.com/office/drawing/2014/main" id="{8DA8F6F0-E133-8AC7-161C-BC9A0E50D0E7}"/>
              </a:ext>
            </a:extLst>
          </xdr:cNvPr>
          <xdr:cNvGrpSpPr/>
        </xdr:nvGrpSpPr>
        <xdr:grpSpPr>
          <a:xfrm>
            <a:off x="10385266" y="1283231"/>
            <a:ext cx="2302299" cy="1150939"/>
            <a:chOff x="2671869" y="1273969"/>
            <a:chExt cx="4145541" cy="1452562"/>
          </a:xfrm>
        </xdr:grpSpPr>
        <xdr:grpSp>
          <xdr:nvGrpSpPr>
            <xdr:cNvPr id="53" name="Agrupar 52">
              <a:extLst>
                <a:ext uri="{FF2B5EF4-FFF2-40B4-BE49-F238E27FC236}">
                  <a16:creationId xmlns:a16="http://schemas.microsoft.com/office/drawing/2014/main" id="{8006E1A0-3C93-9E47-E8B6-008C483D29B9}"/>
                </a:ext>
              </a:extLst>
            </xdr:cNvPr>
            <xdr:cNvGrpSpPr/>
          </xdr:nvGrpSpPr>
          <xdr:grpSpPr>
            <a:xfrm>
              <a:off x="2671869" y="1273969"/>
              <a:ext cx="4145541" cy="1452562"/>
              <a:chOff x="2488405" y="1273969"/>
              <a:chExt cx="5167314" cy="1452562"/>
            </a:xfrm>
          </xdr:grpSpPr>
          <xdr:sp macro="" textlink="">
            <xdr:nvSpPr>
              <xdr:cNvPr id="55" name="Retângulo: Cantos Arredondados 54">
                <a:extLst>
                  <a:ext uri="{FF2B5EF4-FFF2-40B4-BE49-F238E27FC236}">
                    <a16:creationId xmlns:a16="http://schemas.microsoft.com/office/drawing/2014/main" id="{A39BC86C-5C17-E140-B2F6-F298057C8CF3}"/>
                  </a:ext>
                </a:extLst>
              </xdr:cNvPr>
              <xdr:cNvSpPr/>
            </xdr:nvSpPr>
            <xdr:spPr>
              <a:xfrm>
                <a:off x="2488405" y="1273969"/>
                <a:ext cx="5167313" cy="1452562"/>
              </a:xfrm>
              <a:prstGeom prst="roundRect">
                <a:avLst>
                  <a:gd name="adj" fmla="val 904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$E$59">
            <xdr:nvSpPr>
              <xdr:cNvPr id="56" name="Retângulo: Cantos Arredondados 55">
                <a:extLst>
                  <a:ext uri="{FF2B5EF4-FFF2-40B4-BE49-F238E27FC236}">
                    <a16:creationId xmlns:a16="http://schemas.microsoft.com/office/drawing/2014/main" id="{78D3102B-3C65-825C-92C7-3256A0947FE0}"/>
                  </a:ext>
                </a:extLst>
              </xdr:cNvPr>
              <xdr:cNvSpPr/>
            </xdr:nvSpPr>
            <xdr:spPr>
              <a:xfrm>
                <a:off x="3817237" y="2037913"/>
                <a:ext cx="3476624" cy="634628"/>
              </a:xfrm>
              <a:prstGeom prst="roundRect">
                <a:avLst>
                  <a:gd name="adj" fmla="val 904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3CC3D513-47BD-492F-83C1-089B9D159CB5}" type="TxLink">
                  <a:rPr lang="en-US" sz="1800" b="0" i="0" u="none" strike="noStrike">
                    <a:solidFill>
                      <a:srgbClr val="22C55E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pPr algn="ctr"/>
                  <a:t>R$24,70</a:t>
                </a:fld>
                <a:endParaRPr lang="pt-BR" sz="1800" b="1">
                  <a:solidFill>
                    <a:srgbClr val="22C55E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xdr:txBody>
          </xdr:sp>
          <xdr:sp macro="" textlink="">
            <xdr:nvSpPr>
              <xdr:cNvPr id="57" name="Retângulo: Cantos Superiores Arredondados 56">
                <a:extLst>
                  <a:ext uri="{FF2B5EF4-FFF2-40B4-BE49-F238E27FC236}">
                    <a16:creationId xmlns:a16="http://schemas.microsoft.com/office/drawing/2014/main" id="{A9BB3C20-F949-2855-C22B-C76E6D160EC8}"/>
                  </a:ext>
                </a:extLst>
              </xdr:cNvPr>
              <xdr:cNvSpPr/>
            </xdr:nvSpPr>
            <xdr:spPr>
              <a:xfrm>
                <a:off x="2489719" y="1273969"/>
                <a:ext cx="5166000" cy="523875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2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SALES EA PLAY SEASON PASS</a:t>
                </a:r>
              </a:p>
            </xdr:txBody>
          </xdr:sp>
        </xdr:grpSp>
        <xdr:sp macro="" textlink="">
          <xdr:nvSpPr>
            <xdr:cNvPr id="54" name="Retângulo: Cantos Superiores Arredondados 53">
              <a:extLst>
                <a:ext uri="{FF2B5EF4-FFF2-40B4-BE49-F238E27FC236}">
                  <a16:creationId xmlns:a16="http://schemas.microsoft.com/office/drawing/2014/main" id="{AF2EEFD7-2261-E9B7-C3BD-CB2D3C66F1C2}"/>
                </a:ext>
              </a:extLst>
            </xdr:cNvPr>
            <xdr:cNvSpPr/>
          </xdr:nvSpPr>
          <xdr:spPr>
            <a:xfrm>
              <a:off x="2671869" y="1273969"/>
              <a:ext cx="4144488" cy="70179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AVERAGE</a:t>
              </a:r>
              <a:r>
                <a:rPr lang="pt-BR" sz="11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TICKET</a:t>
              </a:r>
              <a:endParaRPr lang="pt-BR" sz="1050">
                <a:effectLst/>
              </a:endParaRPr>
            </a:p>
          </xdr:txBody>
        </xdr:sp>
      </xdr:grp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489E05EF-6A9F-4D48-9253-81A073CD59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83875" y="1855197"/>
            <a:ext cx="507271" cy="5334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11906</xdr:colOff>
      <xdr:row>13</xdr:row>
      <xdr:rowOff>142876</xdr:rowOff>
    </xdr:from>
    <xdr:to>
      <xdr:col>10</xdr:col>
      <xdr:colOff>383531</xdr:colOff>
      <xdr:row>30</xdr:row>
      <xdr:rowOff>105882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FFC4D788-4FB3-BDC9-E2C7-B92F65A5006F}"/>
            </a:ext>
          </a:extLst>
        </xdr:cNvPr>
        <xdr:cNvGrpSpPr/>
      </xdr:nvGrpSpPr>
      <xdr:grpSpPr>
        <a:xfrm>
          <a:off x="2533230" y="2709023"/>
          <a:ext cx="4887595" cy="3201506"/>
          <a:chOff x="2512219" y="2964656"/>
          <a:chExt cx="4860000" cy="3201506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FF5CF04F-C413-C4F4-E810-BDC26FC45C0C}"/>
              </a:ext>
            </a:extLst>
          </xdr:cNvPr>
          <xdr:cNvSpPr/>
        </xdr:nvSpPr>
        <xdr:spPr>
          <a:xfrm>
            <a:off x="2512219" y="2976562"/>
            <a:ext cx="4860000" cy="3189600"/>
          </a:xfrm>
          <a:prstGeom prst="roundRect">
            <a:avLst>
              <a:gd name="adj" fmla="val 443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8D7C80A1-8A47-8BDC-4D3B-8BEA9F6D38E5}"/>
              </a:ext>
            </a:extLst>
          </xdr:cNvPr>
          <xdr:cNvGrpSpPr/>
        </xdr:nvGrpSpPr>
        <xdr:grpSpPr>
          <a:xfrm>
            <a:off x="2512219" y="2964656"/>
            <a:ext cx="4860000" cy="3131343"/>
            <a:chOff x="2500313" y="2988468"/>
            <a:chExt cx="4860000" cy="3131343"/>
          </a:xfrm>
        </xdr:grpSpPr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E093F98C-5F3B-4289-86BC-EC12E2C98EB4}"/>
                </a:ext>
              </a:extLst>
            </xdr:cNvPr>
            <xdr:cNvGraphicFramePr>
              <a:graphicFrameLocks/>
            </xdr:cNvGraphicFramePr>
          </xdr:nvGraphicFramePr>
          <xdr:xfrm>
            <a:off x="2524124" y="3476624"/>
            <a:ext cx="4774407" cy="26431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D0A185EF-ECE0-4DD0-9DBA-5FD8E0C549A3}"/>
                </a:ext>
              </a:extLst>
            </xdr:cNvPr>
            <xdr:cNvSpPr/>
          </xdr:nvSpPr>
          <xdr:spPr>
            <a:xfrm>
              <a:off x="2500313" y="2988468"/>
              <a:ext cx="4860000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>
                  <a:latin typeface="Segoe UI" panose="020B0502040204020203" pitchFamily="34" charset="0"/>
                  <a:cs typeface="Segoe UI" panose="020B0502040204020203" pitchFamily="34" charset="0"/>
                </a:rPr>
                <a:t>REVENUE</a:t>
              </a:r>
              <a: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BY PLAN</a:t>
              </a:r>
              <a:endParaRPr lang="pt-BR" sz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A" refreshedDate="46293.691987847225" createdVersion="8" refreshedVersion="8" minRefreshableVersion="3" recordCount="295" xr:uid="{C02D55B8-872F-486B-8596-C865D01086B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468642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s v="Yes"/>
    <n v="20"/>
    <n v="5"/>
    <n v="60"/>
  </r>
  <r>
    <n v="3232"/>
    <s v="Maria Oliveira"/>
    <x v="1"/>
    <d v="2024-01-15T00:00:00"/>
    <x v="1"/>
    <x v="1"/>
    <x v="1"/>
    <x v="1"/>
    <x v="1"/>
    <s v="No"/>
    <n v="0"/>
    <n v="0"/>
    <n v="5"/>
  </r>
  <r>
    <n v="3233"/>
    <s v="Lucas Fernandes"/>
    <x v="2"/>
    <d v="2024-02-10T00:00:00"/>
    <x v="0"/>
    <x v="2"/>
    <x v="2"/>
    <x v="1"/>
    <x v="1"/>
    <s v="Yes"/>
    <n v="20"/>
    <n v="10"/>
    <n v="20"/>
  </r>
  <r>
    <n v="3234"/>
    <s v="Ana Souza"/>
    <x v="0"/>
    <d v="2024-02-20T00:00:00"/>
    <x v="1"/>
    <x v="0"/>
    <x v="0"/>
    <x v="0"/>
    <x v="0"/>
    <s v="Yes"/>
    <n v="20"/>
    <n v="3"/>
    <n v="62"/>
  </r>
  <r>
    <n v="3235"/>
    <s v="Pedro Gonçalves"/>
    <x v="1"/>
    <d v="2024-03-05T00:00:00"/>
    <x v="0"/>
    <x v="1"/>
    <x v="0"/>
    <x v="1"/>
    <x v="1"/>
    <s v="No"/>
    <n v="0"/>
    <n v="1"/>
    <n v="4"/>
  </r>
  <r>
    <n v="3236"/>
    <s v="Felipe Costa"/>
    <x v="2"/>
    <d v="2024-03-02T00:00:00"/>
    <x v="1"/>
    <x v="2"/>
    <x v="0"/>
    <x v="1"/>
    <x v="1"/>
    <s v="Yes"/>
    <n v="20"/>
    <n v="2"/>
    <n v="28"/>
  </r>
  <r>
    <n v="3237"/>
    <s v="Camila Ribeiro"/>
    <x v="0"/>
    <d v="2024-03-03T00:00:00"/>
    <x v="0"/>
    <x v="0"/>
    <x v="2"/>
    <x v="0"/>
    <x v="0"/>
    <s v="Yes"/>
    <n v="20"/>
    <n v="10"/>
    <n v="55"/>
  </r>
  <r>
    <n v="3238"/>
    <s v="André Mendes"/>
    <x v="1"/>
    <d v="2024-03-04T00:00:00"/>
    <x v="0"/>
    <x v="1"/>
    <x v="1"/>
    <x v="1"/>
    <x v="1"/>
    <s v="No"/>
    <n v="0"/>
    <n v="0"/>
    <n v="5"/>
  </r>
  <r>
    <n v="3239"/>
    <s v="Sofia Almeida"/>
    <x v="0"/>
    <d v="2024-03-05T00:00:00"/>
    <x v="1"/>
    <x v="0"/>
    <x v="0"/>
    <x v="0"/>
    <x v="0"/>
    <s v="Yes"/>
    <n v="20"/>
    <n v="5"/>
    <n v="60"/>
  </r>
  <r>
    <n v="3240"/>
    <s v="Bruno Martins"/>
    <x v="2"/>
    <d v="2024-03-06T00:00:00"/>
    <x v="0"/>
    <x v="2"/>
    <x v="2"/>
    <x v="1"/>
    <x v="1"/>
    <s v="Yes"/>
    <n v="20"/>
    <n v="15"/>
    <n v="15"/>
  </r>
  <r>
    <n v="3241"/>
    <s v="Rita Castro"/>
    <x v="1"/>
    <d v="2024-03-07T00:00:00"/>
    <x v="1"/>
    <x v="1"/>
    <x v="0"/>
    <x v="1"/>
    <x v="1"/>
    <s v="No"/>
    <n v="0"/>
    <n v="1"/>
    <n v="4"/>
  </r>
  <r>
    <n v="3242"/>
    <s v="Marco Túlio"/>
    <x v="0"/>
    <d v="2024-03-08T00:00:00"/>
    <x v="0"/>
    <x v="0"/>
    <x v="1"/>
    <x v="0"/>
    <x v="0"/>
    <s v="Yes"/>
    <n v="20"/>
    <n v="20"/>
    <n v="45"/>
  </r>
  <r>
    <n v="3243"/>
    <s v="Lívia Silveira"/>
    <x v="2"/>
    <d v="2024-03-09T00:00:00"/>
    <x v="1"/>
    <x v="2"/>
    <x v="0"/>
    <x v="1"/>
    <x v="1"/>
    <s v="Yes"/>
    <n v="20"/>
    <n v="10"/>
    <n v="20"/>
  </r>
  <r>
    <n v="3244"/>
    <s v="Diogo Sousa"/>
    <x v="1"/>
    <d v="2024-03-10T00:00:00"/>
    <x v="0"/>
    <x v="1"/>
    <x v="2"/>
    <x v="1"/>
    <x v="1"/>
    <s v="No"/>
    <n v="0"/>
    <n v="0"/>
    <n v="5"/>
  </r>
  <r>
    <n v="3245"/>
    <s v="Fernanda Lima"/>
    <x v="0"/>
    <d v="2024-03-11T00:00:00"/>
    <x v="1"/>
    <x v="0"/>
    <x v="0"/>
    <x v="0"/>
    <x v="0"/>
    <s v="Yes"/>
    <n v="20"/>
    <n v="8"/>
    <n v="57"/>
  </r>
  <r>
    <n v="3246"/>
    <s v="Caio Pereira"/>
    <x v="2"/>
    <d v="2024-03-12T00:00:00"/>
    <x v="0"/>
    <x v="2"/>
    <x v="1"/>
    <x v="1"/>
    <x v="1"/>
    <s v="Yes"/>
    <n v="20"/>
    <n v="12"/>
    <n v="18"/>
  </r>
  <r>
    <n v="3247"/>
    <s v="Beatriz Gomes"/>
    <x v="1"/>
    <d v="2024-03-13T00:00:00"/>
    <x v="1"/>
    <x v="1"/>
    <x v="0"/>
    <x v="1"/>
    <x v="1"/>
    <s v="No"/>
    <n v="0"/>
    <n v="2"/>
    <n v="3"/>
  </r>
  <r>
    <n v="3248"/>
    <s v="Cesar Oliveira"/>
    <x v="0"/>
    <d v="2024-03-14T00:00:00"/>
    <x v="0"/>
    <x v="0"/>
    <x v="2"/>
    <x v="0"/>
    <x v="0"/>
    <s v="Yes"/>
    <n v="20"/>
    <n v="7"/>
    <n v="58"/>
  </r>
  <r>
    <n v="3249"/>
    <s v="Débora Machado"/>
    <x v="2"/>
    <d v="2024-03-15T00:00:00"/>
    <x v="1"/>
    <x v="2"/>
    <x v="0"/>
    <x v="1"/>
    <x v="1"/>
    <s v="Yes"/>
    <n v="20"/>
    <n v="5"/>
    <n v="25"/>
  </r>
  <r>
    <n v="3250"/>
    <s v="Eduardo Vargas"/>
    <x v="1"/>
    <d v="2024-03-16T00:00:00"/>
    <x v="0"/>
    <x v="1"/>
    <x v="1"/>
    <x v="1"/>
    <x v="1"/>
    <s v="No"/>
    <n v="0"/>
    <n v="0"/>
    <n v="5"/>
  </r>
  <r>
    <n v="3251"/>
    <s v="Gabriela Santos"/>
    <x v="0"/>
    <d v="2024-03-17T00:00:00"/>
    <x v="1"/>
    <x v="0"/>
    <x v="0"/>
    <x v="0"/>
    <x v="0"/>
    <s v="Yes"/>
    <n v="20"/>
    <n v="3"/>
    <n v="62"/>
  </r>
  <r>
    <n v="3252"/>
    <s v="Henrique Dias"/>
    <x v="2"/>
    <d v="2024-03-18T00:00:00"/>
    <x v="0"/>
    <x v="2"/>
    <x v="2"/>
    <x v="1"/>
    <x v="1"/>
    <s v="Yes"/>
    <n v="20"/>
    <n v="15"/>
    <n v="15"/>
  </r>
  <r>
    <n v="3253"/>
    <s v="Isabela Moreira"/>
    <x v="1"/>
    <d v="2024-03-19T00:00:00"/>
    <x v="1"/>
    <x v="1"/>
    <x v="0"/>
    <x v="1"/>
    <x v="1"/>
    <s v="No"/>
    <n v="0"/>
    <n v="1"/>
    <n v="4"/>
  </r>
  <r>
    <n v="3254"/>
    <s v="Joaquim Barbosa"/>
    <x v="0"/>
    <d v="2024-03-20T00:00:00"/>
    <x v="0"/>
    <x v="0"/>
    <x v="1"/>
    <x v="0"/>
    <x v="0"/>
    <s v="Yes"/>
    <n v="20"/>
    <n v="20"/>
    <n v="45"/>
  </r>
  <r>
    <n v="3255"/>
    <s v="Lara Rocha"/>
    <x v="2"/>
    <d v="2024-03-21T00:00:00"/>
    <x v="1"/>
    <x v="2"/>
    <x v="0"/>
    <x v="1"/>
    <x v="1"/>
    <s v="Yes"/>
    <n v="20"/>
    <n v="10"/>
    <n v="20"/>
  </r>
  <r>
    <n v="3256"/>
    <s v="Matheus Silva"/>
    <x v="1"/>
    <d v="2024-03-22T00:00:00"/>
    <x v="0"/>
    <x v="1"/>
    <x v="2"/>
    <x v="1"/>
    <x v="1"/>
    <s v="No"/>
    <n v="0"/>
    <n v="0"/>
    <n v="5"/>
  </r>
  <r>
    <n v="3257"/>
    <s v="Nicole Costa"/>
    <x v="0"/>
    <d v="2024-03-23T00:00:00"/>
    <x v="1"/>
    <x v="0"/>
    <x v="0"/>
    <x v="0"/>
    <x v="0"/>
    <s v="Yes"/>
    <n v="20"/>
    <n v="5"/>
    <n v="60"/>
  </r>
  <r>
    <n v="3258"/>
    <s v="Otávio Mendonça"/>
    <x v="2"/>
    <d v="2024-03-24T00:00:00"/>
    <x v="0"/>
    <x v="2"/>
    <x v="1"/>
    <x v="1"/>
    <x v="1"/>
    <s v="Yes"/>
    <n v="20"/>
    <n v="15"/>
    <n v="15"/>
  </r>
  <r>
    <n v="3259"/>
    <s v="Paula Ferreira"/>
    <x v="1"/>
    <d v="2024-03-25T00:00:00"/>
    <x v="1"/>
    <x v="1"/>
    <x v="0"/>
    <x v="1"/>
    <x v="1"/>
    <s v="No"/>
    <n v="0"/>
    <n v="1"/>
    <n v="4"/>
  </r>
  <r>
    <n v="3260"/>
    <s v="Raquel Alves"/>
    <x v="0"/>
    <d v="2024-03-26T00:00:00"/>
    <x v="0"/>
    <x v="0"/>
    <x v="2"/>
    <x v="0"/>
    <x v="0"/>
    <s v="Yes"/>
    <n v="20"/>
    <n v="7"/>
    <n v="58"/>
  </r>
  <r>
    <n v="3261"/>
    <s v="Samuel Pires"/>
    <x v="2"/>
    <d v="2024-03-27T00:00:00"/>
    <x v="1"/>
    <x v="2"/>
    <x v="0"/>
    <x v="1"/>
    <x v="1"/>
    <s v="Yes"/>
    <n v="20"/>
    <n v="10"/>
    <n v="20"/>
  </r>
  <r>
    <n v="3262"/>
    <s v="Tânia Barros"/>
    <x v="1"/>
    <d v="2024-03-28T00:00:00"/>
    <x v="0"/>
    <x v="1"/>
    <x v="1"/>
    <x v="1"/>
    <x v="1"/>
    <s v="No"/>
    <n v="0"/>
    <n v="0"/>
    <n v="5"/>
  </r>
  <r>
    <n v="3263"/>
    <s v="Vinicius Lima"/>
    <x v="0"/>
    <d v="2024-03-29T00:00:00"/>
    <x v="1"/>
    <x v="0"/>
    <x v="0"/>
    <x v="0"/>
    <x v="0"/>
    <s v="Yes"/>
    <n v="20"/>
    <n v="3"/>
    <n v="62"/>
  </r>
  <r>
    <n v="3264"/>
    <s v="Yasmin Teixeira"/>
    <x v="2"/>
    <d v="2024-03-30T00:00:00"/>
    <x v="0"/>
    <x v="2"/>
    <x v="2"/>
    <x v="1"/>
    <x v="1"/>
    <s v="Yes"/>
    <n v="20"/>
    <n v="15"/>
    <n v="15"/>
  </r>
  <r>
    <n v="3265"/>
    <s v="Zé Carlos"/>
    <x v="1"/>
    <d v="2024-03-31T00:00:00"/>
    <x v="1"/>
    <x v="1"/>
    <x v="0"/>
    <x v="1"/>
    <x v="1"/>
    <s v="No"/>
    <n v="0"/>
    <n v="1"/>
    <n v="4"/>
  </r>
  <r>
    <n v="3266"/>
    <s v="Amanda Nogueira"/>
    <x v="1"/>
    <d v="2024-04-01T00:00:00"/>
    <x v="0"/>
    <x v="1"/>
    <x v="0"/>
    <x v="1"/>
    <x v="1"/>
    <s v="No"/>
    <n v="0"/>
    <n v="0"/>
    <n v="5"/>
  </r>
  <r>
    <n v="3267"/>
    <s v="Bruno Cavalheiro"/>
    <x v="0"/>
    <d v="2024-04-02T00:00:00"/>
    <x v="1"/>
    <x v="0"/>
    <x v="2"/>
    <x v="0"/>
    <x v="0"/>
    <s v="Yes"/>
    <n v="20"/>
    <n v="7"/>
    <n v="58"/>
  </r>
  <r>
    <n v="3268"/>
    <s v="Carla Dias"/>
    <x v="2"/>
    <d v="2024-04-03T00:00:00"/>
    <x v="0"/>
    <x v="2"/>
    <x v="1"/>
    <x v="1"/>
    <x v="1"/>
    <s v="Yes"/>
    <n v="20"/>
    <n v="10"/>
    <n v="20"/>
  </r>
  <r>
    <n v="3269"/>
    <s v="Diego Fontes"/>
    <x v="1"/>
    <d v="2024-04-04T00:00:00"/>
    <x v="1"/>
    <x v="1"/>
    <x v="2"/>
    <x v="1"/>
    <x v="1"/>
    <s v="No"/>
    <n v="0"/>
    <n v="1"/>
    <n v="4"/>
  </r>
  <r>
    <n v="3270"/>
    <s v="Eunice Lima"/>
    <x v="0"/>
    <d v="2024-04-05T00:00:00"/>
    <x v="0"/>
    <x v="0"/>
    <x v="0"/>
    <x v="0"/>
    <x v="0"/>
    <s v="Yes"/>
    <n v="20"/>
    <n v="15"/>
    <n v="50"/>
  </r>
  <r>
    <n v="3271"/>
    <s v="Fábio Martins"/>
    <x v="2"/>
    <d v="2024-04-06T00:00:00"/>
    <x v="1"/>
    <x v="2"/>
    <x v="0"/>
    <x v="1"/>
    <x v="1"/>
    <s v="Yes"/>
    <n v="20"/>
    <n v="5"/>
    <n v="25"/>
  </r>
  <r>
    <n v="3272"/>
    <s v="Gisele Araújo"/>
    <x v="1"/>
    <d v="2024-04-07T00:00:00"/>
    <x v="0"/>
    <x v="1"/>
    <x v="1"/>
    <x v="1"/>
    <x v="1"/>
    <s v="No"/>
    <n v="0"/>
    <n v="0"/>
    <n v="5"/>
  </r>
  <r>
    <n v="3273"/>
    <s v="Hélio Castro"/>
    <x v="0"/>
    <d v="2024-04-08T00:00:00"/>
    <x v="1"/>
    <x v="0"/>
    <x v="2"/>
    <x v="0"/>
    <x v="0"/>
    <s v="Yes"/>
    <n v="20"/>
    <n v="20"/>
    <n v="45"/>
  </r>
  <r>
    <n v="3274"/>
    <s v="Ingrid Menezes"/>
    <x v="2"/>
    <d v="2024-04-09T00:00:00"/>
    <x v="0"/>
    <x v="2"/>
    <x v="2"/>
    <x v="1"/>
    <x v="1"/>
    <s v="Yes"/>
    <n v="20"/>
    <n v="12"/>
    <n v="18"/>
  </r>
  <r>
    <n v="3275"/>
    <s v="Jorge Baptista"/>
    <x v="1"/>
    <d v="2024-04-10T00:00:00"/>
    <x v="1"/>
    <x v="1"/>
    <x v="0"/>
    <x v="1"/>
    <x v="1"/>
    <s v="No"/>
    <n v="0"/>
    <n v="2"/>
    <n v="3"/>
  </r>
  <r>
    <n v="3276"/>
    <s v="Kléber Oliveira"/>
    <x v="0"/>
    <d v="2024-04-11T00:00:00"/>
    <x v="0"/>
    <x v="0"/>
    <x v="1"/>
    <x v="0"/>
    <x v="0"/>
    <s v="Yes"/>
    <n v="20"/>
    <n v="5"/>
    <n v="60"/>
  </r>
  <r>
    <n v="3277"/>
    <s v="Luciana Freitas"/>
    <x v="2"/>
    <d v="2024-04-12T00:00:00"/>
    <x v="1"/>
    <x v="2"/>
    <x v="0"/>
    <x v="1"/>
    <x v="1"/>
    <s v="Yes"/>
    <n v="20"/>
    <n v="10"/>
    <n v="20"/>
  </r>
  <r>
    <n v="3278"/>
    <s v="Márcia Eller"/>
    <x v="1"/>
    <d v="2024-04-13T00:00:00"/>
    <x v="0"/>
    <x v="1"/>
    <x v="2"/>
    <x v="1"/>
    <x v="1"/>
    <s v="No"/>
    <n v="0"/>
    <n v="0"/>
    <n v="5"/>
  </r>
  <r>
    <n v="3279"/>
    <s v="Nilo Peçanha"/>
    <x v="0"/>
    <d v="2024-04-14T00:00:00"/>
    <x v="1"/>
    <x v="0"/>
    <x v="0"/>
    <x v="0"/>
    <x v="0"/>
    <s v="Yes"/>
    <n v="20"/>
    <n v="3"/>
    <n v="62"/>
  </r>
  <r>
    <n v="3280"/>
    <s v="Oscar Neves"/>
    <x v="2"/>
    <d v="2024-04-15T00:00:00"/>
    <x v="0"/>
    <x v="2"/>
    <x v="1"/>
    <x v="1"/>
    <x v="1"/>
    <s v="Yes"/>
    <n v="20"/>
    <n v="15"/>
    <n v="15"/>
  </r>
  <r>
    <n v="3281"/>
    <s v="Patrícia Soares"/>
    <x v="1"/>
    <d v="2024-04-16T00:00:00"/>
    <x v="1"/>
    <x v="1"/>
    <x v="0"/>
    <x v="1"/>
    <x v="1"/>
    <s v="No"/>
    <n v="0"/>
    <n v="1"/>
    <n v="4"/>
  </r>
  <r>
    <n v="3282"/>
    <s v="Quirino Gonçalves"/>
    <x v="0"/>
    <d v="2024-04-17T00:00:00"/>
    <x v="0"/>
    <x v="0"/>
    <x v="2"/>
    <x v="0"/>
    <x v="0"/>
    <s v="Yes"/>
    <n v="20"/>
    <n v="7"/>
    <n v="58"/>
  </r>
  <r>
    <n v="3283"/>
    <s v="Raul Machado"/>
    <x v="2"/>
    <d v="2024-04-18T00:00:00"/>
    <x v="1"/>
    <x v="2"/>
    <x v="0"/>
    <x v="1"/>
    <x v="1"/>
    <s v="Yes"/>
    <n v="20"/>
    <n v="10"/>
    <n v="20"/>
  </r>
  <r>
    <n v="3284"/>
    <s v="Sônia Lobo"/>
    <x v="1"/>
    <d v="2024-04-19T00:00:00"/>
    <x v="0"/>
    <x v="1"/>
    <x v="1"/>
    <x v="1"/>
    <x v="1"/>
    <s v="No"/>
    <n v="0"/>
    <n v="0"/>
    <n v="5"/>
  </r>
  <r>
    <n v="3285"/>
    <s v="Tiago Ramos"/>
    <x v="0"/>
    <d v="2024-04-20T00:00:00"/>
    <x v="1"/>
    <x v="0"/>
    <x v="0"/>
    <x v="0"/>
    <x v="0"/>
    <s v="Yes"/>
    <n v="20"/>
    <n v="20"/>
    <n v="45"/>
  </r>
  <r>
    <n v="3286"/>
    <s v="Ugo Pires"/>
    <x v="2"/>
    <d v="2024-04-21T00:00:00"/>
    <x v="0"/>
    <x v="2"/>
    <x v="2"/>
    <x v="1"/>
    <x v="1"/>
    <s v="Yes"/>
    <n v="20"/>
    <n v="15"/>
    <n v="15"/>
  </r>
  <r>
    <n v="3287"/>
    <s v="Valéria Nobre"/>
    <x v="1"/>
    <d v="2024-04-22T00:00:00"/>
    <x v="1"/>
    <x v="1"/>
    <x v="0"/>
    <x v="1"/>
    <x v="1"/>
    <s v="No"/>
    <n v="0"/>
    <n v="1"/>
    <n v="4"/>
  </r>
  <r>
    <n v="3288"/>
    <s v="William Siqueira"/>
    <x v="0"/>
    <d v="2024-04-23T00:00:00"/>
    <x v="0"/>
    <x v="0"/>
    <x v="1"/>
    <x v="0"/>
    <x v="0"/>
    <s v="Yes"/>
    <n v="20"/>
    <n v="3"/>
    <n v="62"/>
  </r>
  <r>
    <n v="3289"/>
    <s v="Xuxa Meneghel"/>
    <x v="2"/>
    <d v="2024-04-24T00:00:00"/>
    <x v="1"/>
    <x v="2"/>
    <x v="0"/>
    <x v="1"/>
    <x v="1"/>
    <s v="Yes"/>
    <n v="20"/>
    <n v="10"/>
    <n v="20"/>
  </r>
  <r>
    <n v="3290"/>
    <s v="Yara Figueiredo"/>
    <x v="1"/>
    <d v="2024-04-25T00:00:00"/>
    <x v="0"/>
    <x v="1"/>
    <x v="2"/>
    <x v="1"/>
    <x v="1"/>
    <s v="No"/>
    <n v="0"/>
    <n v="0"/>
    <n v="5"/>
  </r>
  <r>
    <n v="3291"/>
    <s v="Zacarias Alves"/>
    <x v="0"/>
    <d v="2024-04-26T00:00:00"/>
    <x v="1"/>
    <x v="0"/>
    <x v="0"/>
    <x v="0"/>
    <x v="0"/>
    <s v="Yes"/>
    <n v="20"/>
    <n v="5"/>
    <n v="60"/>
  </r>
  <r>
    <n v="3292"/>
    <s v="Amanda Bynes"/>
    <x v="2"/>
    <d v="2024-04-27T00:00:00"/>
    <x v="0"/>
    <x v="2"/>
    <x v="1"/>
    <x v="1"/>
    <x v="1"/>
    <s v="Yes"/>
    <n v="20"/>
    <n v="15"/>
    <n v="15"/>
  </r>
  <r>
    <n v="3293"/>
    <s v="Bruno Mars"/>
    <x v="1"/>
    <d v="2024-04-28T00:00:00"/>
    <x v="1"/>
    <x v="1"/>
    <x v="0"/>
    <x v="1"/>
    <x v="1"/>
    <s v="No"/>
    <n v="0"/>
    <n v="1"/>
    <n v="4"/>
  </r>
  <r>
    <n v="3294"/>
    <s v="Carla Bruni"/>
    <x v="0"/>
    <d v="2024-04-29T00:00:00"/>
    <x v="0"/>
    <x v="0"/>
    <x v="2"/>
    <x v="0"/>
    <x v="0"/>
    <s v="Yes"/>
    <n v="20"/>
    <n v="20"/>
    <n v="45"/>
  </r>
  <r>
    <n v="3295"/>
    <s v="Diego Maradona"/>
    <x v="2"/>
    <d v="2024-04-30T00:00:00"/>
    <x v="1"/>
    <x v="2"/>
    <x v="0"/>
    <x v="1"/>
    <x v="1"/>
    <s v="Yes"/>
    <n v="20"/>
    <n v="5"/>
    <n v="25"/>
  </r>
  <r>
    <n v="3296"/>
    <s v="Estela Marques"/>
    <x v="1"/>
    <d v="2024-05-01T00:00:00"/>
    <x v="1"/>
    <x v="1"/>
    <x v="0"/>
    <x v="1"/>
    <x v="1"/>
    <s v="No"/>
    <n v="0"/>
    <n v="0"/>
    <n v="5"/>
  </r>
  <r>
    <n v="3297"/>
    <s v="Fábio Nobre"/>
    <x v="0"/>
    <d v="2024-05-02T00:00:00"/>
    <x v="0"/>
    <x v="0"/>
    <x v="2"/>
    <x v="0"/>
    <x v="0"/>
    <s v="Yes"/>
    <n v="20"/>
    <n v="7"/>
    <n v="58"/>
  </r>
  <r>
    <n v="3298"/>
    <s v="Gabriel Oliveira"/>
    <x v="2"/>
    <d v="2024-05-03T00:00:00"/>
    <x v="1"/>
    <x v="2"/>
    <x v="1"/>
    <x v="1"/>
    <x v="1"/>
    <s v="Yes"/>
    <n v="20"/>
    <n v="10"/>
    <n v="20"/>
  </r>
  <r>
    <n v="3299"/>
    <s v="Helena Santos"/>
    <x v="1"/>
    <d v="2024-05-04T00:00:00"/>
    <x v="0"/>
    <x v="1"/>
    <x v="2"/>
    <x v="1"/>
    <x v="1"/>
    <s v="No"/>
    <n v="0"/>
    <n v="1"/>
    <n v="4"/>
  </r>
  <r>
    <n v="3300"/>
    <s v="Ivan Carvalho"/>
    <x v="0"/>
    <d v="2024-05-05T00:00:00"/>
    <x v="1"/>
    <x v="0"/>
    <x v="0"/>
    <x v="0"/>
    <x v="0"/>
    <s v="Yes"/>
    <n v="20"/>
    <n v="15"/>
    <n v="50"/>
  </r>
  <r>
    <n v="3301"/>
    <s v="Júlia Ferreira"/>
    <x v="2"/>
    <d v="2024-05-06T00:00:00"/>
    <x v="0"/>
    <x v="2"/>
    <x v="0"/>
    <x v="1"/>
    <x v="1"/>
    <s v="Yes"/>
    <n v="20"/>
    <n v="5"/>
    <n v="25"/>
  </r>
  <r>
    <n v="3302"/>
    <s v="Karla Alves"/>
    <x v="1"/>
    <d v="2024-05-07T00:00:00"/>
    <x v="1"/>
    <x v="1"/>
    <x v="1"/>
    <x v="1"/>
    <x v="1"/>
    <s v="No"/>
    <n v="0"/>
    <n v="0"/>
    <n v="5"/>
  </r>
  <r>
    <n v="3303"/>
    <s v="Lucas Mendes"/>
    <x v="0"/>
    <d v="2024-05-08T00:00:00"/>
    <x v="0"/>
    <x v="0"/>
    <x v="2"/>
    <x v="0"/>
    <x v="0"/>
    <s v="Yes"/>
    <n v="20"/>
    <n v="20"/>
    <n v="45"/>
  </r>
  <r>
    <n v="3304"/>
    <s v="Mônica Gomes"/>
    <x v="2"/>
    <d v="2024-05-09T00:00:00"/>
    <x v="1"/>
    <x v="2"/>
    <x v="2"/>
    <x v="1"/>
    <x v="1"/>
    <s v="Yes"/>
    <n v="20"/>
    <n v="12"/>
    <n v="18"/>
  </r>
  <r>
    <n v="3305"/>
    <s v="Norberto Queiroz"/>
    <x v="1"/>
    <d v="2024-05-10T00:00:00"/>
    <x v="0"/>
    <x v="1"/>
    <x v="0"/>
    <x v="1"/>
    <x v="1"/>
    <s v="No"/>
    <n v="0"/>
    <n v="2"/>
    <n v="3"/>
  </r>
  <r>
    <n v="3306"/>
    <s v="Otávio Barros"/>
    <x v="0"/>
    <d v="2024-05-11T00:00:00"/>
    <x v="1"/>
    <x v="0"/>
    <x v="1"/>
    <x v="0"/>
    <x v="0"/>
    <s v="Yes"/>
    <n v="20"/>
    <n v="5"/>
    <n v="60"/>
  </r>
  <r>
    <n v="3307"/>
    <s v="Paula Vieira"/>
    <x v="2"/>
    <d v="2024-05-12T00:00:00"/>
    <x v="0"/>
    <x v="2"/>
    <x v="0"/>
    <x v="1"/>
    <x v="1"/>
    <s v="Yes"/>
    <n v="20"/>
    <n v="10"/>
    <n v="20"/>
  </r>
  <r>
    <n v="3308"/>
    <s v="Quentin Ramos"/>
    <x v="1"/>
    <d v="2024-05-13T00:00:00"/>
    <x v="1"/>
    <x v="1"/>
    <x v="2"/>
    <x v="1"/>
    <x v="1"/>
    <s v="No"/>
    <n v="0"/>
    <n v="0"/>
    <n v="5"/>
  </r>
  <r>
    <n v="3309"/>
    <s v="Raquel Novaes"/>
    <x v="0"/>
    <d v="2024-05-14T00:00:00"/>
    <x v="0"/>
    <x v="0"/>
    <x v="0"/>
    <x v="0"/>
    <x v="0"/>
    <s v="Yes"/>
    <n v="20"/>
    <n v="3"/>
    <n v="62"/>
  </r>
  <r>
    <n v="3310"/>
    <s v="Samantha Lopes"/>
    <x v="2"/>
    <d v="2024-05-15T00:00:00"/>
    <x v="1"/>
    <x v="2"/>
    <x v="1"/>
    <x v="1"/>
    <x v="1"/>
    <s v="Yes"/>
    <n v="20"/>
    <n v="15"/>
    <n v="15"/>
  </r>
  <r>
    <n v="3311"/>
    <s v="Tiago Martins"/>
    <x v="1"/>
    <d v="2024-05-16T00:00:00"/>
    <x v="0"/>
    <x v="1"/>
    <x v="0"/>
    <x v="1"/>
    <x v="1"/>
    <s v="No"/>
    <n v="0"/>
    <n v="1"/>
    <n v="4"/>
  </r>
  <r>
    <n v="3312"/>
    <s v="Ulysses Guimarães"/>
    <x v="0"/>
    <d v="2024-05-17T00:00:00"/>
    <x v="1"/>
    <x v="0"/>
    <x v="2"/>
    <x v="0"/>
    <x v="0"/>
    <s v="Yes"/>
    <n v="20"/>
    <n v="7"/>
    <n v="58"/>
  </r>
  <r>
    <n v="3313"/>
    <s v="Vanessa Silva"/>
    <x v="2"/>
    <d v="2024-05-18T00:00:00"/>
    <x v="0"/>
    <x v="2"/>
    <x v="0"/>
    <x v="1"/>
    <x v="1"/>
    <s v="Yes"/>
    <n v="20"/>
    <n v="10"/>
    <n v="20"/>
  </r>
  <r>
    <n v="3314"/>
    <s v="William Carneiro"/>
    <x v="1"/>
    <d v="2024-05-19T00:00:00"/>
    <x v="1"/>
    <x v="1"/>
    <x v="1"/>
    <x v="1"/>
    <x v="1"/>
    <s v="No"/>
    <n v="0"/>
    <n v="0"/>
    <n v="5"/>
  </r>
  <r>
    <n v="3315"/>
    <s v="Ximena Rocha"/>
    <x v="0"/>
    <d v="2024-05-20T00:00:00"/>
    <x v="0"/>
    <x v="0"/>
    <x v="0"/>
    <x v="0"/>
    <x v="0"/>
    <s v="Yes"/>
    <n v="20"/>
    <n v="20"/>
    <n v="45"/>
  </r>
  <r>
    <n v="3316"/>
    <s v="Yasmin Figueiredo"/>
    <x v="2"/>
    <d v="2024-05-21T00:00:00"/>
    <x v="1"/>
    <x v="2"/>
    <x v="2"/>
    <x v="1"/>
    <x v="1"/>
    <s v="Yes"/>
    <n v="20"/>
    <n v="15"/>
    <n v="15"/>
  </r>
  <r>
    <n v="3317"/>
    <s v="Zara Cunha"/>
    <x v="1"/>
    <d v="2024-05-22T00:00:00"/>
    <x v="0"/>
    <x v="1"/>
    <x v="0"/>
    <x v="1"/>
    <x v="1"/>
    <s v="No"/>
    <n v="0"/>
    <n v="1"/>
    <n v="4"/>
  </r>
  <r>
    <n v="3318"/>
    <s v="Alan Teixeira"/>
    <x v="0"/>
    <d v="2024-05-23T00:00:00"/>
    <x v="1"/>
    <x v="0"/>
    <x v="1"/>
    <x v="0"/>
    <x v="0"/>
    <s v="Yes"/>
    <n v="20"/>
    <n v="3"/>
    <n v="62"/>
  </r>
  <r>
    <n v="3319"/>
    <s v="Bárbara Oliveira"/>
    <x v="2"/>
    <d v="2024-05-24T00:00:00"/>
    <x v="0"/>
    <x v="2"/>
    <x v="0"/>
    <x v="1"/>
    <x v="1"/>
    <s v="Yes"/>
    <n v="20"/>
    <n v="10"/>
    <n v="20"/>
  </r>
  <r>
    <n v="3320"/>
    <s v="Carlos Junqueira"/>
    <x v="1"/>
    <d v="2024-05-25T00:00:00"/>
    <x v="1"/>
    <x v="1"/>
    <x v="2"/>
    <x v="1"/>
    <x v="1"/>
    <s v="No"/>
    <n v="0"/>
    <n v="0"/>
    <n v="5"/>
  </r>
  <r>
    <n v="3321"/>
    <s v="Daniela Moura"/>
    <x v="0"/>
    <d v="2024-05-26T00:00:00"/>
    <x v="0"/>
    <x v="0"/>
    <x v="0"/>
    <x v="0"/>
    <x v="0"/>
    <s v="Yes"/>
    <n v="20"/>
    <n v="5"/>
    <n v="60"/>
  </r>
  <r>
    <n v="3322"/>
    <s v="Eduardo Lima"/>
    <x v="2"/>
    <d v="2024-05-27T00:00:00"/>
    <x v="1"/>
    <x v="2"/>
    <x v="1"/>
    <x v="1"/>
    <x v="1"/>
    <s v="Yes"/>
    <n v="20"/>
    <n v="15"/>
    <n v="15"/>
  </r>
  <r>
    <n v="3323"/>
    <s v="Fabiana Araújo"/>
    <x v="1"/>
    <d v="2024-05-28T00:00:00"/>
    <x v="0"/>
    <x v="1"/>
    <x v="0"/>
    <x v="1"/>
    <x v="1"/>
    <s v="No"/>
    <n v="0"/>
    <n v="1"/>
    <n v="4"/>
  </r>
  <r>
    <n v="3324"/>
    <s v="Geraldo Ribeiro"/>
    <x v="0"/>
    <d v="2024-05-29T00:00:00"/>
    <x v="1"/>
    <x v="0"/>
    <x v="2"/>
    <x v="0"/>
    <x v="0"/>
    <s v="Yes"/>
    <n v="20"/>
    <n v="20"/>
    <n v="45"/>
  </r>
  <r>
    <n v="3325"/>
    <s v="Héctor Vargas"/>
    <x v="2"/>
    <d v="2024-05-30T00:00:00"/>
    <x v="0"/>
    <x v="2"/>
    <x v="2"/>
    <x v="1"/>
    <x v="1"/>
    <s v="Yes"/>
    <n v="20"/>
    <n v="15"/>
    <n v="15"/>
  </r>
  <r>
    <n v="3326"/>
    <s v="Isabela Fonseca"/>
    <x v="1"/>
    <d v="2024-05-31T00:00:00"/>
    <x v="1"/>
    <x v="1"/>
    <x v="1"/>
    <x v="1"/>
    <x v="1"/>
    <s v="No"/>
    <n v="0"/>
    <n v="0"/>
    <n v="5"/>
  </r>
  <r>
    <n v="3327"/>
    <s v="João Pedro Almeida"/>
    <x v="0"/>
    <d v="2024-06-01T00:00:00"/>
    <x v="0"/>
    <x v="0"/>
    <x v="0"/>
    <x v="0"/>
    <x v="0"/>
    <s v="Yes"/>
    <n v="20"/>
    <n v="7"/>
    <n v="58"/>
  </r>
  <r>
    <n v="3328"/>
    <s v="Klara Costa"/>
    <x v="2"/>
    <d v="2024-06-02T00:00:00"/>
    <x v="1"/>
    <x v="2"/>
    <x v="1"/>
    <x v="1"/>
    <x v="1"/>
    <s v="Yes"/>
    <n v="20"/>
    <n v="10"/>
    <n v="20"/>
  </r>
  <r>
    <n v="3329"/>
    <s v="Luciana Mendes"/>
    <x v="1"/>
    <d v="2024-06-03T00:00:00"/>
    <x v="0"/>
    <x v="1"/>
    <x v="2"/>
    <x v="1"/>
    <x v="1"/>
    <s v="No"/>
    <n v="0"/>
    <n v="1"/>
    <n v="4"/>
  </r>
  <r>
    <n v="3330"/>
    <s v="Marcelo Gouveia"/>
    <x v="0"/>
    <d v="2024-06-04T00:00:00"/>
    <x v="1"/>
    <x v="0"/>
    <x v="0"/>
    <x v="0"/>
    <x v="0"/>
    <s v="Yes"/>
    <n v="20"/>
    <n v="15"/>
    <n v="50"/>
  </r>
  <r>
    <n v="3331"/>
    <s v="Nívea Borges"/>
    <x v="2"/>
    <d v="2024-06-05T00:00:00"/>
    <x v="0"/>
    <x v="2"/>
    <x v="0"/>
    <x v="1"/>
    <x v="1"/>
    <s v="Yes"/>
    <n v="20"/>
    <n v="5"/>
    <n v="25"/>
  </r>
  <r>
    <n v="3332"/>
    <s v="Oscar Nogueira"/>
    <x v="1"/>
    <d v="2024-06-06T00:00:00"/>
    <x v="1"/>
    <x v="1"/>
    <x v="1"/>
    <x v="1"/>
    <x v="1"/>
    <s v="No"/>
    <n v="0"/>
    <n v="0"/>
    <n v="5"/>
  </r>
  <r>
    <n v="3333"/>
    <s v="Patrícia Alves"/>
    <x v="0"/>
    <d v="2024-06-07T00:00:00"/>
    <x v="0"/>
    <x v="0"/>
    <x v="2"/>
    <x v="0"/>
    <x v="0"/>
    <s v="Yes"/>
    <n v="20"/>
    <n v="20"/>
    <n v="45"/>
  </r>
  <r>
    <n v="3334"/>
    <s v="Rafaela Silva"/>
    <x v="2"/>
    <d v="2024-06-08T00:00:00"/>
    <x v="1"/>
    <x v="2"/>
    <x v="2"/>
    <x v="1"/>
    <x v="1"/>
    <s v="Yes"/>
    <n v="20"/>
    <n v="12"/>
    <n v="18"/>
  </r>
  <r>
    <n v="3335"/>
    <s v="Samantha Moraes"/>
    <x v="1"/>
    <d v="2024-06-09T00:00:00"/>
    <x v="0"/>
    <x v="1"/>
    <x v="0"/>
    <x v="1"/>
    <x v="1"/>
    <s v="No"/>
    <n v="0"/>
    <n v="2"/>
    <n v="3"/>
  </r>
  <r>
    <n v="3336"/>
    <s v="Tatiana Rocha"/>
    <x v="1"/>
    <d v="2024-06-10T00:00:00"/>
    <x v="0"/>
    <x v="1"/>
    <x v="0"/>
    <x v="1"/>
    <x v="1"/>
    <s v="No"/>
    <n v="0"/>
    <n v="0"/>
    <n v="5"/>
  </r>
  <r>
    <n v="3337"/>
    <s v="Ulisses Tavares"/>
    <x v="0"/>
    <d v="2024-06-11T00:00:00"/>
    <x v="1"/>
    <x v="0"/>
    <x v="2"/>
    <x v="0"/>
    <x v="0"/>
    <s v="Yes"/>
    <n v="20"/>
    <n v="7"/>
    <n v="58"/>
  </r>
  <r>
    <n v="3338"/>
    <s v="Víctor Lemos"/>
    <x v="2"/>
    <d v="2024-06-12T00:00:00"/>
    <x v="0"/>
    <x v="2"/>
    <x v="1"/>
    <x v="1"/>
    <x v="1"/>
    <s v="Yes"/>
    <n v="20"/>
    <n v="10"/>
    <n v="20"/>
  </r>
  <r>
    <n v="3339"/>
    <s v="Wilma Barros"/>
    <x v="1"/>
    <d v="2024-06-13T00:00:00"/>
    <x v="1"/>
    <x v="1"/>
    <x v="2"/>
    <x v="1"/>
    <x v="1"/>
    <s v="No"/>
    <n v="0"/>
    <n v="1"/>
    <n v="4"/>
  </r>
  <r>
    <n v="3340"/>
    <s v="Xavier Nascimento"/>
    <x v="0"/>
    <d v="2024-06-14T00:00:00"/>
    <x v="0"/>
    <x v="0"/>
    <x v="0"/>
    <x v="0"/>
    <x v="0"/>
    <s v="Yes"/>
    <n v="20"/>
    <n v="15"/>
    <n v="50"/>
  </r>
  <r>
    <n v="3341"/>
    <s v="Yago Pereira"/>
    <x v="2"/>
    <d v="2024-06-15T00:00:00"/>
    <x v="1"/>
    <x v="2"/>
    <x v="0"/>
    <x v="1"/>
    <x v="1"/>
    <s v="Yes"/>
    <n v="20"/>
    <n v="5"/>
    <n v="25"/>
  </r>
  <r>
    <n v="3342"/>
    <s v="Zilda Ferreira"/>
    <x v="1"/>
    <d v="2024-06-16T00:00:00"/>
    <x v="0"/>
    <x v="1"/>
    <x v="1"/>
    <x v="1"/>
    <x v="1"/>
    <s v="No"/>
    <n v="0"/>
    <n v="0"/>
    <n v="5"/>
  </r>
  <r>
    <n v="3343"/>
    <s v="Amanda Lopes"/>
    <x v="0"/>
    <d v="2024-06-17T00:00:00"/>
    <x v="1"/>
    <x v="0"/>
    <x v="2"/>
    <x v="0"/>
    <x v="0"/>
    <s v="Yes"/>
    <n v="20"/>
    <n v="20"/>
    <n v="45"/>
  </r>
  <r>
    <n v="3344"/>
    <s v="Bruno Miranda"/>
    <x v="2"/>
    <d v="2024-06-18T00:00:00"/>
    <x v="0"/>
    <x v="2"/>
    <x v="2"/>
    <x v="1"/>
    <x v="1"/>
    <s v="Yes"/>
    <n v="20"/>
    <n v="12"/>
    <n v="18"/>
  </r>
  <r>
    <n v="3345"/>
    <s v="Célia Torres"/>
    <x v="1"/>
    <d v="2024-06-19T00:00:00"/>
    <x v="1"/>
    <x v="1"/>
    <x v="0"/>
    <x v="1"/>
    <x v="1"/>
    <s v="No"/>
    <n v="0"/>
    <n v="2"/>
    <n v="3"/>
  </r>
  <r>
    <n v="3346"/>
    <s v="Diogo Souza"/>
    <x v="0"/>
    <d v="2024-06-20T00:00:00"/>
    <x v="0"/>
    <x v="0"/>
    <x v="1"/>
    <x v="0"/>
    <x v="0"/>
    <s v="Yes"/>
    <n v="20"/>
    <n v="5"/>
    <n v="60"/>
  </r>
  <r>
    <n v="3347"/>
    <s v="Elisa Castro"/>
    <x v="2"/>
    <d v="2024-06-21T00:00:00"/>
    <x v="1"/>
    <x v="2"/>
    <x v="0"/>
    <x v="1"/>
    <x v="1"/>
    <s v="Yes"/>
    <n v="20"/>
    <n v="10"/>
    <n v="20"/>
  </r>
  <r>
    <n v="3348"/>
    <s v="Fátima Lima"/>
    <x v="1"/>
    <d v="2024-06-22T00:00:00"/>
    <x v="0"/>
    <x v="1"/>
    <x v="2"/>
    <x v="1"/>
    <x v="1"/>
    <s v="No"/>
    <n v="0"/>
    <n v="0"/>
    <n v="5"/>
  </r>
  <r>
    <n v="3349"/>
    <s v="Geraldo Ribeiro"/>
    <x v="0"/>
    <d v="2024-06-23T00:00:00"/>
    <x v="1"/>
    <x v="0"/>
    <x v="0"/>
    <x v="0"/>
    <x v="0"/>
    <s v="Yes"/>
    <n v="20"/>
    <n v="3"/>
    <n v="62"/>
  </r>
  <r>
    <n v="3350"/>
    <s v="Hélio Martins"/>
    <x v="2"/>
    <d v="2024-06-24T00:00:00"/>
    <x v="0"/>
    <x v="2"/>
    <x v="1"/>
    <x v="1"/>
    <x v="1"/>
    <s v="Yes"/>
    <n v="20"/>
    <n v="15"/>
    <n v="15"/>
  </r>
  <r>
    <n v="3351"/>
    <s v="Íris Santos"/>
    <x v="1"/>
    <d v="2024-06-25T00:00:00"/>
    <x v="1"/>
    <x v="1"/>
    <x v="0"/>
    <x v="1"/>
    <x v="1"/>
    <s v="No"/>
    <n v="0"/>
    <n v="1"/>
    <n v="4"/>
  </r>
  <r>
    <n v="3352"/>
    <s v="João Marcelo"/>
    <x v="0"/>
    <d v="2024-06-26T00:00:00"/>
    <x v="0"/>
    <x v="0"/>
    <x v="2"/>
    <x v="0"/>
    <x v="0"/>
    <s v="Yes"/>
    <n v="20"/>
    <n v="7"/>
    <n v="58"/>
  </r>
  <r>
    <n v="3353"/>
    <s v="Larissa Gomes"/>
    <x v="2"/>
    <d v="2024-06-27T00:00:00"/>
    <x v="1"/>
    <x v="2"/>
    <x v="0"/>
    <x v="1"/>
    <x v="1"/>
    <s v="Yes"/>
    <n v="20"/>
    <n v="10"/>
    <n v="20"/>
  </r>
  <r>
    <n v="3354"/>
    <s v="Márcio Silva"/>
    <x v="1"/>
    <d v="2024-06-28T00:00:00"/>
    <x v="0"/>
    <x v="1"/>
    <x v="1"/>
    <x v="1"/>
    <x v="1"/>
    <s v="No"/>
    <n v="0"/>
    <n v="0"/>
    <n v="5"/>
  </r>
  <r>
    <n v="3355"/>
    <s v="Nadia Costa"/>
    <x v="0"/>
    <d v="2024-06-29T00:00:00"/>
    <x v="1"/>
    <x v="0"/>
    <x v="0"/>
    <x v="0"/>
    <x v="0"/>
    <s v="Yes"/>
    <n v="20"/>
    <n v="20"/>
    <n v="45"/>
  </r>
  <r>
    <n v="3356"/>
    <s v="Oscar Almeida"/>
    <x v="2"/>
    <d v="2024-06-30T00:00:00"/>
    <x v="0"/>
    <x v="2"/>
    <x v="2"/>
    <x v="1"/>
    <x v="1"/>
    <s v="Yes"/>
    <n v="20"/>
    <n v="15"/>
    <n v="15"/>
  </r>
  <r>
    <n v="3357"/>
    <s v="Patricia Soares"/>
    <x v="1"/>
    <d v="2024-07-01T00:00:00"/>
    <x v="1"/>
    <x v="1"/>
    <x v="0"/>
    <x v="1"/>
    <x v="1"/>
    <s v="No"/>
    <n v="0"/>
    <n v="1"/>
    <n v="4"/>
  </r>
  <r>
    <n v="3358"/>
    <s v="Quênia Barros"/>
    <x v="0"/>
    <d v="2024-07-02T00:00:00"/>
    <x v="0"/>
    <x v="0"/>
    <x v="1"/>
    <x v="0"/>
    <x v="0"/>
    <s v="Yes"/>
    <n v="20"/>
    <n v="3"/>
    <n v="62"/>
  </r>
  <r>
    <n v="3359"/>
    <s v="Rafael Torres"/>
    <x v="2"/>
    <d v="2024-07-03T00:00:00"/>
    <x v="1"/>
    <x v="2"/>
    <x v="0"/>
    <x v="1"/>
    <x v="1"/>
    <s v="Yes"/>
    <n v="20"/>
    <n v="10"/>
    <n v="20"/>
  </r>
  <r>
    <n v="3360"/>
    <s v="Silvia Nascimento"/>
    <x v="1"/>
    <d v="2024-07-04T00:00:00"/>
    <x v="0"/>
    <x v="1"/>
    <x v="2"/>
    <x v="1"/>
    <x v="1"/>
    <s v="No"/>
    <n v="0"/>
    <n v="0"/>
    <n v="5"/>
  </r>
  <r>
    <n v="3361"/>
    <s v="Tiago Mendes"/>
    <x v="0"/>
    <d v="2024-07-05T00:00:00"/>
    <x v="1"/>
    <x v="0"/>
    <x v="0"/>
    <x v="0"/>
    <x v="0"/>
    <s v="Yes"/>
    <n v="20"/>
    <n v="15"/>
    <n v="50"/>
  </r>
  <r>
    <n v="3362"/>
    <s v="Ursula Silva"/>
    <x v="2"/>
    <d v="2024-07-06T00:00:00"/>
    <x v="0"/>
    <x v="2"/>
    <x v="1"/>
    <x v="1"/>
    <x v="1"/>
    <s v="Yes"/>
    <n v="20"/>
    <n v="15"/>
    <n v="15"/>
  </r>
  <r>
    <n v="3363"/>
    <s v="Vanessa Moraes"/>
    <x v="1"/>
    <d v="2024-07-07T00:00:00"/>
    <x v="1"/>
    <x v="1"/>
    <x v="0"/>
    <x v="1"/>
    <x v="1"/>
    <s v="No"/>
    <n v="0"/>
    <n v="1"/>
    <n v="4"/>
  </r>
  <r>
    <n v="3364"/>
    <s v="Waldir Junior"/>
    <x v="0"/>
    <d v="2024-07-08T00:00:00"/>
    <x v="0"/>
    <x v="0"/>
    <x v="2"/>
    <x v="0"/>
    <x v="0"/>
    <s v="Yes"/>
    <n v="20"/>
    <n v="7"/>
    <n v="58"/>
  </r>
  <r>
    <n v="3365"/>
    <s v="Xavier Lopes"/>
    <x v="2"/>
    <d v="2024-07-09T00:00:00"/>
    <x v="1"/>
    <x v="2"/>
    <x v="0"/>
    <x v="1"/>
    <x v="1"/>
    <s v="Yes"/>
    <n v="20"/>
    <n v="10"/>
    <n v="20"/>
  </r>
  <r>
    <n v="3366"/>
    <s v="Yolanda Freitas"/>
    <x v="1"/>
    <d v="2024-07-10T00:00:00"/>
    <x v="0"/>
    <x v="1"/>
    <x v="0"/>
    <x v="1"/>
    <x v="1"/>
    <s v="No"/>
    <n v="0"/>
    <n v="0"/>
    <n v="5"/>
  </r>
  <r>
    <n v="3367"/>
    <s v="Zacarias Nunes"/>
    <x v="0"/>
    <d v="2024-07-11T00:00:00"/>
    <x v="1"/>
    <x v="0"/>
    <x v="2"/>
    <x v="0"/>
    <x v="0"/>
    <s v="Yes"/>
    <n v="20"/>
    <n v="7"/>
    <n v="58"/>
  </r>
  <r>
    <n v="3368"/>
    <s v="Ana Clara Barreto"/>
    <x v="2"/>
    <d v="2024-07-12T00:00:00"/>
    <x v="0"/>
    <x v="2"/>
    <x v="1"/>
    <x v="1"/>
    <x v="1"/>
    <s v="Yes"/>
    <n v="20"/>
    <n v="10"/>
    <n v="20"/>
  </r>
  <r>
    <n v="3369"/>
    <s v="Bruno Henrique"/>
    <x v="1"/>
    <d v="2024-07-13T00:00:00"/>
    <x v="1"/>
    <x v="1"/>
    <x v="2"/>
    <x v="1"/>
    <x v="1"/>
    <s v="No"/>
    <n v="0"/>
    <n v="1"/>
    <n v="4"/>
  </r>
  <r>
    <n v="3370"/>
    <s v="Carlos Eduardo"/>
    <x v="0"/>
    <d v="2024-07-14T00:00:00"/>
    <x v="0"/>
    <x v="0"/>
    <x v="0"/>
    <x v="0"/>
    <x v="0"/>
    <s v="Yes"/>
    <n v="20"/>
    <n v="15"/>
    <n v="50"/>
  </r>
  <r>
    <n v="3371"/>
    <s v="Débora Lima"/>
    <x v="2"/>
    <d v="2024-07-15T00:00:00"/>
    <x v="1"/>
    <x v="2"/>
    <x v="0"/>
    <x v="1"/>
    <x v="1"/>
    <s v="Yes"/>
    <n v="20"/>
    <n v="5"/>
    <n v="25"/>
  </r>
  <r>
    <n v="3372"/>
    <s v="Elisa Neves"/>
    <x v="1"/>
    <d v="2024-07-16T00:00:00"/>
    <x v="0"/>
    <x v="1"/>
    <x v="1"/>
    <x v="1"/>
    <x v="1"/>
    <s v="No"/>
    <n v="0"/>
    <n v="0"/>
    <n v="5"/>
  </r>
  <r>
    <n v="3373"/>
    <s v="Fabiano Gomes"/>
    <x v="0"/>
    <d v="2024-07-17T00:00:00"/>
    <x v="1"/>
    <x v="0"/>
    <x v="2"/>
    <x v="0"/>
    <x v="0"/>
    <s v="Yes"/>
    <n v="20"/>
    <n v="20"/>
    <n v="45"/>
  </r>
  <r>
    <n v="3374"/>
    <s v="Gisele Oliveira"/>
    <x v="2"/>
    <d v="2024-07-18T00:00:00"/>
    <x v="0"/>
    <x v="2"/>
    <x v="2"/>
    <x v="1"/>
    <x v="1"/>
    <s v="Yes"/>
    <n v="20"/>
    <n v="12"/>
    <n v="18"/>
  </r>
  <r>
    <n v="3375"/>
    <s v="Héctor Silva"/>
    <x v="1"/>
    <d v="2024-07-19T00:00:00"/>
    <x v="1"/>
    <x v="1"/>
    <x v="0"/>
    <x v="1"/>
    <x v="1"/>
    <s v="No"/>
    <n v="0"/>
    <n v="2"/>
    <n v="3"/>
  </r>
  <r>
    <n v="3376"/>
    <s v="Igor Martins"/>
    <x v="0"/>
    <d v="2024-07-20T00:00:00"/>
    <x v="0"/>
    <x v="0"/>
    <x v="1"/>
    <x v="0"/>
    <x v="0"/>
    <s v="Yes"/>
    <n v="20"/>
    <n v="5"/>
    <n v="60"/>
  </r>
  <r>
    <n v="3377"/>
    <s v="Joana Figueiredo"/>
    <x v="2"/>
    <d v="2024-07-21T00:00:00"/>
    <x v="1"/>
    <x v="2"/>
    <x v="0"/>
    <x v="1"/>
    <x v="1"/>
    <s v="Yes"/>
    <n v="20"/>
    <n v="10"/>
    <n v="20"/>
  </r>
  <r>
    <n v="3378"/>
    <s v="Kleber Machado"/>
    <x v="1"/>
    <d v="2024-07-22T00:00:00"/>
    <x v="0"/>
    <x v="1"/>
    <x v="2"/>
    <x v="1"/>
    <x v="1"/>
    <s v="No"/>
    <n v="0"/>
    <n v="0"/>
    <n v="5"/>
  </r>
  <r>
    <n v="3379"/>
    <s v="Luciana Santos"/>
    <x v="0"/>
    <d v="2024-07-23T00:00:00"/>
    <x v="1"/>
    <x v="0"/>
    <x v="0"/>
    <x v="0"/>
    <x v="0"/>
    <s v="Yes"/>
    <n v="20"/>
    <n v="3"/>
    <n v="62"/>
  </r>
  <r>
    <n v="3380"/>
    <s v="Marcos Teixeira"/>
    <x v="2"/>
    <d v="2024-07-24T00:00:00"/>
    <x v="0"/>
    <x v="2"/>
    <x v="1"/>
    <x v="1"/>
    <x v="1"/>
    <s v="Yes"/>
    <n v="20"/>
    <n v="15"/>
    <n v="15"/>
  </r>
  <r>
    <n v="3381"/>
    <s v="Natalia Costa"/>
    <x v="1"/>
    <d v="2024-07-25T00:00:00"/>
    <x v="1"/>
    <x v="1"/>
    <x v="0"/>
    <x v="1"/>
    <x v="1"/>
    <s v="No"/>
    <n v="0"/>
    <n v="1"/>
    <n v="4"/>
  </r>
  <r>
    <n v="3382"/>
    <s v="Oscar Ribeiro"/>
    <x v="0"/>
    <d v="2024-07-26T00:00:00"/>
    <x v="0"/>
    <x v="0"/>
    <x v="2"/>
    <x v="0"/>
    <x v="0"/>
    <s v="Yes"/>
    <n v="20"/>
    <n v="7"/>
    <n v="58"/>
  </r>
  <r>
    <n v="3383"/>
    <s v="Patricia Almeida"/>
    <x v="2"/>
    <d v="2024-07-27T00:00:00"/>
    <x v="1"/>
    <x v="2"/>
    <x v="0"/>
    <x v="1"/>
    <x v="1"/>
    <s v="Yes"/>
    <n v="20"/>
    <n v="10"/>
    <n v="20"/>
  </r>
  <r>
    <n v="3384"/>
    <s v="Quirino Junior"/>
    <x v="1"/>
    <d v="2024-07-28T00:00:00"/>
    <x v="0"/>
    <x v="1"/>
    <x v="1"/>
    <x v="1"/>
    <x v="1"/>
    <s v="No"/>
    <n v="0"/>
    <n v="0"/>
    <n v="5"/>
  </r>
  <r>
    <n v="3385"/>
    <s v="Renata Machado"/>
    <x v="0"/>
    <d v="2024-07-29T00:00:00"/>
    <x v="1"/>
    <x v="0"/>
    <x v="0"/>
    <x v="0"/>
    <x v="0"/>
    <s v="Yes"/>
    <n v="20"/>
    <n v="20"/>
    <n v="45"/>
  </r>
  <r>
    <n v="3386"/>
    <s v="Sônia Alves"/>
    <x v="2"/>
    <d v="2024-07-30T00:00:00"/>
    <x v="0"/>
    <x v="2"/>
    <x v="2"/>
    <x v="1"/>
    <x v="1"/>
    <s v="Yes"/>
    <n v="20"/>
    <n v="15"/>
    <n v="15"/>
  </r>
  <r>
    <n v="3387"/>
    <s v="Tiago Nunes"/>
    <x v="1"/>
    <d v="2024-07-31T00:00:00"/>
    <x v="1"/>
    <x v="1"/>
    <x v="0"/>
    <x v="1"/>
    <x v="1"/>
    <s v="No"/>
    <n v="0"/>
    <n v="1"/>
    <n v="4"/>
  </r>
  <r>
    <n v="3388"/>
    <s v="Ulysses Pereira"/>
    <x v="0"/>
    <d v="2024-08-01T00:00:00"/>
    <x v="0"/>
    <x v="0"/>
    <x v="1"/>
    <x v="0"/>
    <x v="0"/>
    <s v="Yes"/>
    <n v="20"/>
    <n v="3"/>
    <n v="62"/>
  </r>
  <r>
    <n v="3389"/>
    <s v="Vanessa Lima"/>
    <x v="2"/>
    <d v="2024-08-02T00:00:00"/>
    <x v="1"/>
    <x v="2"/>
    <x v="0"/>
    <x v="1"/>
    <x v="1"/>
    <s v="Yes"/>
    <n v="20"/>
    <n v="10"/>
    <n v="20"/>
  </r>
  <r>
    <n v="3390"/>
    <s v="Wagner Santos"/>
    <x v="1"/>
    <d v="2024-08-03T00:00:00"/>
    <x v="0"/>
    <x v="1"/>
    <x v="2"/>
    <x v="1"/>
    <x v="1"/>
    <s v="No"/>
    <n v="0"/>
    <n v="0"/>
    <n v="5"/>
  </r>
  <r>
    <n v="3391"/>
    <s v="Xuxa Meneghel"/>
    <x v="0"/>
    <d v="2024-08-04T00:00:00"/>
    <x v="1"/>
    <x v="0"/>
    <x v="0"/>
    <x v="0"/>
    <x v="0"/>
    <s v="Yes"/>
    <n v="20"/>
    <n v="15"/>
    <n v="50"/>
  </r>
  <r>
    <n v="3392"/>
    <s v="Yasmin Silva"/>
    <x v="2"/>
    <d v="2024-08-05T00:00:00"/>
    <x v="0"/>
    <x v="2"/>
    <x v="1"/>
    <x v="1"/>
    <x v="1"/>
    <s v="Yes"/>
    <n v="20"/>
    <n v="15"/>
    <n v="15"/>
  </r>
  <r>
    <n v="3393"/>
    <s v="Zacarias de Souza"/>
    <x v="1"/>
    <d v="2024-08-06T00:00:00"/>
    <x v="1"/>
    <x v="1"/>
    <x v="0"/>
    <x v="1"/>
    <x v="1"/>
    <s v="No"/>
    <n v="0"/>
    <n v="1"/>
    <n v="4"/>
  </r>
  <r>
    <n v="3394"/>
    <s v="André Lima"/>
    <x v="0"/>
    <d v="2024-08-07T00:00:00"/>
    <x v="0"/>
    <x v="0"/>
    <x v="2"/>
    <x v="0"/>
    <x v="0"/>
    <s v="Yes"/>
    <n v="20"/>
    <n v="7"/>
    <n v="58"/>
  </r>
  <r>
    <n v="3395"/>
    <s v="Bianca Freitas"/>
    <x v="2"/>
    <d v="2024-08-08T00:00:00"/>
    <x v="1"/>
    <x v="2"/>
    <x v="0"/>
    <x v="1"/>
    <x v="1"/>
    <s v="Yes"/>
    <n v="20"/>
    <n v="10"/>
    <n v="20"/>
  </r>
  <r>
    <n v="3396"/>
    <s v="Caio Mendes"/>
    <x v="1"/>
    <d v="2024-08-09T00:00:00"/>
    <x v="0"/>
    <x v="1"/>
    <x v="1"/>
    <x v="1"/>
    <x v="1"/>
    <s v="No"/>
    <n v="0"/>
    <n v="0"/>
    <n v="5"/>
  </r>
  <r>
    <n v="3397"/>
    <s v="Daniela Moura"/>
    <x v="0"/>
    <d v="2024-08-10T00:00:00"/>
    <x v="1"/>
    <x v="0"/>
    <x v="0"/>
    <x v="0"/>
    <x v="0"/>
    <s v="Yes"/>
    <n v="20"/>
    <n v="20"/>
    <n v="45"/>
  </r>
  <r>
    <n v="3398"/>
    <s v="Eduardo Costa"/>
    <x v="2"/>
    <d v="2024-08-11T00:00:00"/>
    <x v="0"/>
    <x v="2"/>
    <x v="2"/>
    <x v="1"/>
    <x v="1"/>
    <s v="Yes"/>
    <n v="20"/>
    <n v="15"/>
    <n v="15"/>
  </r>
  <r>
    <n v="3399"/>
    <s v="Fernanda Gomes"/>
    <x v="1"/>
    <d v="2024-08-12T00:00:00"/>
    <x v="1"/>
    <x v="1"/>
    <x v="0"/>
    <x v="1"/>
    <x v="1"/>
    <s v="No"/>
    <n v="0"/>
    <n v="1"/>
    <n v="4"/>
  </r>
  <r>
    <n v="3400"/>
    <s v="Guilherme Souza"/>
    <x v="0"/>
    <d v="2024-08-13T00:00:00"/>
    <x v="0"/>
    <x v="0"/>
    <x v="1"/>
    <x v="0"/>
    <x v="0"/>
    <s v="Yes"/>
    <n v="20"/>
    <n v="5"/>
    <n v="60"/>
  </r>
  <r>
    <n v="3401"/>
    <s v="Helena Ribeiro"/>
    <x v="2"/>
    <d v="2024-08-14T00:00:00"/>
    <x v="1"/>
    <x v="2"/>
    <x v="0"/>
    <x v="1"/>
    <x v="1"/>
    <s v="Yes"/>
    <n v="20"/>
    <n v="10"/>
    <n v="20"/>
  </r>
  <r>
    <n v="3402"/>
    <s v="Igor Santos"/>
    <x v="1"/>
    <d v="2024-08-15T00:00:00"/>
    <x v="0"/>
    <x v="1"/>
    <x v="2"/>
    <x v="1"/>
    <x v="1"/>
    <s v="No"/>
    <n v="0"/>
    <n v="0"/>
    <n v="5"/>
  </r>
  <r>
    <n v="3403"/>
    <s v="João Carvalho"/>
    <x v="0"/>
    <d v="2024-08-16T00:00:00"/>
    <x v="1"/>
    <x v="0"/>
    <x v="0"/>
    <x v="0"/>
    <x v="0"/>
    <s v="Yes"/>
    <n v="20"/>
    <n v="3"/>
    <n v="62"/>
  </r>
  <r>
    <n v="3404"/>
    <s v="Klara Fagundes"/>
    <x v="2"/>
    <d v="2024-08-17T00:00:00"/>
    <x v="0"/>
    <x v="2"/>
    <x v="1"/>
    <x v="1"/>
    <x v="1"/>
    <s v="Yes"/>
    <n v="20"/>
    <n v="15"/>
    <n v="15"/>
  </r>
  <r>
    <n v="3405"/>
    <s v="Lúcia Mendonça"/>
    <x v="1"/>
    <d v="2024-08-18T00:00:00"/>
    <x v="1"/>
    <x v="1"/>
    <x v="0"/>
    <x v="1"/>
    <x v="1"/>
    <s v="No"/>
    <n v="0"/>
    <n v="1"/>
    <n v="4"/>
  </r>
  <r>
    <n v="3406"/>
    <s v="Marcelo Novaes"/>
    <x v="1"/>
    <d v="2024-08-19T00:00:00"/>
    <x v="0"/>
    <x v="1"/>
    <x v="0"/>
    <x v="1"/>
    <x v="1"/>
    <s v="No"/>
    <n v="0"/>
    <n v="0"/>
    <n v="5"/>
  </r>
  <r>
    <n v="3407"/>
    <s v="Nina Pacheco"/>
    <x v="0"/>
    <d v="2024-08-20T00:00:00"/>
    <x v="1"/>
    <x v="0"/>
    <x v="2"/>
    <x v="0"/>
    <x v="0"/>
    <s v="Yes"/>
    <n v="20"/>
    <n v="7"/>
    <n v="58"/>
  </r>
  <r>
    <n v="3408"/>
    <s v="Olívia Rios"/>
    <x v="2"/>
    <d v="2024-08-21T00:00:00"/>
    <x v="0"/>
    <x v="2"/>
    <x v="1"/>
    <x v="1"/>
    <x v="1"/>
    <s v="Yes"/>
    <n v="20"/>
    <n v="10"/>
    <n v="20"/>
  </r>
  <r>
    <n v="3409"/>
    <s v="Paulo Quintana"/>
    <x v="1"/>
    <d v="2024-08-22T00:00:00"/>
    <x v="1"/>
    <x v="1"/>
    <x v="2"/>
    <x v="1"/>
    <x v="1"/>
    <s v="No"/>
    <n v="0"/>
    <n v="1"/>
    <n v="4"/>
  </r>
  <r>
    <n v="3410"/>
    <s v="Raquel Domingos"/>
    <x v="0"/>
    <d v="2024-08-23T00:00:00"/>
    <x v="0"/>
    <x v="0"/>
    <x v="0"/>
    <x v="0"/>
    <x v="0"/>
    <s v="Yes"/>
    <n v="20"/>
    <n v="15"/>
    <n v="50"/>
  </r>
  <r>
    <n v="3411"/>
    <s v="Samuel Viana"/>
    <x v="2"/>
    <d v="2024-08-24T00:00:00"/>
    <x v="1"/>
    <x v="2"/>
    <x v="0"/>
    <x v="1"/>
    <x v="1"/>
    <s v="Yes"/>
    <n v="20"/>
    <n v="5"/>
    <n v="25"/>
  </r>
  <r>
    <n v="3412"/>
    <s v="Tatiane Rocha"/>
    <x v="1"/>
    <d v="2024-08-25T00:00:00"/>
    <x v="0"/>
    <x v="1"/>
    <x v="1"/>
    <x v="1"/>
    <x v="1"/>
    <s v="No"/>
    <n v="0"/>
    <n v="0"/>
    <n v="5"/>
  </r>
  <r>
    <n v="3413"/>
    <s v="Ulysses Farias"/>
    <x v="0"/>
    <d v="2024-08-26T00:00:00"/>
    <x v="1"/>
    <x v="0"/>
    <x v="2"/>
    <x v="0"/>
    <x v="0"/>
    <s v="Yes"/>
    <n v="20"/>
    <n v="20"/>
    <n v="45"/>
  </r>
  <r>
    <n v="3414"/>
    <s v="Vanessa Moreira"/>
    <x v="2"/>
    <d v="2024-08-27T00:00:00"/>
    <x v="0"/>
    <x v="2"/>
    <x v="2"/>
    <x v="1"/>
    <x v="1"/>
    <s v="Yes"/>
    <n v="20"/>
    <n v="12"/>
    <n v="18"/>
  </r>
  <r>
    <n v="3415"/>
    <s v="William Carvalho"/>
    <x v="1"/>
    <d v="2024-08-28T00:00:00"/>
    <x v="1"/>
    <x v="1"/>
    <x v="0"/>
    <x v="1"/>
    <x v="1"/>
    <s v="No"/>
    <n v="0"/>
    <n v="2"/>
    <n v="3"/>
  </r>
  <r>
    <n v="3416"/>
    <s v="Ximena Barros"/>
    <x v="0"/>
    <d v="2024-08-29T00:00:00"/>
    <x v="0"/>
    <x v="0"/>
    <x v="1"/>
    <x v="0"/>
    <x v="0"/>
    <s v="Yes"/>
    <n v="20"/>
    <n v="5"/>
    <n v="60"/>
  </r>
  <r>
    <n v="3417"/>
    <s v="Yara Machado"/>
    <x v="2"/>
    <d v="2024-08-30T00:00:00"/>
    <x v="1"/>
    <x v="2"/>
    <x v="0"/>
    <x v="1"/>
    <x v="1"/>
    <s v="Yes"/>
    <n v="20"/>
    <n v="10"/>
    <n v="20"/>
  </r>
  <r>
    <n v="3418"/>
    <s v="Zacarias Costa"/>
    <x v="1"/>
    <d v="2024-08-31T00:00:00"/>
    <x v="0"/>
    <x v="1"/>
    <x v="2"/>
    <x v="1"/>
    <x v="1"/>
    <s v="No"/>
    <n v="0"/>
    <n v="0"/>
    <n v="5"/>
  </r>
  <r>
    <n v="3419"/>
    <s v="André Lopes"/>
    <x v="0"/>
    <d v="2024-09-01T00:00:00"/>
    <x v="1"/>
    <x v="0"/>
    <x v="0"/>
    <x v="0"/>
    <x v="0"/>
    <s v="Yes"/>
    <n v="20"/>
    <n v="3"/>
    <n v="62"/>
  </r>
  <r>
    <n v="3420"/>
    <s v="Beatriz Souza"/>
    <x v="2"/>
    <d v="2024-09-02T00:00:00"/>
    <x v="0"/>
    <x v="2"/>
    <x v="1"/>
    <x v="1"/>
    <x v="1"/>
    <s v="Yes"/>
    <n v="20"/>
    <n v="15"/>
    <n v="15"/>
  </r>
  <r>
    <n v="3421"/>
    <s v="Caio Pereira"/>
    <x v="1"/>
    <d v="2024-09-03T00:00:00"/>
    <x v="1"/>
    <x v="1"/>
    <x v="0"/>
    <x v="1"/>
    <x v="1"/>
    <s v="No"/>
    <n v="0"/>
    <n v="1"/>
    <n v="4"/>
  </r>
  <r>
    <n v="3422"/>
    <s v="Daniela Araújo"/>
    <x v="0"/>
    <d v="2024-09-04T00:00:00"/>
    <x v="0"/>
    <x v="0"/>
    <x v="2"/>
    <x v="0"/>
    <x v="0"/>
    <s v="Yes"/>
    <n v="20"/>
    <n v="7"/>
    <n v="58"/>
  </r>
  <r>
    <n v="3423"/>
    <s v="Eduardo Santos"/>
    <x v="2"/>
    <d v="2024-09-05T00:00:00"/>
    <x v="1"/>
    <x v="2"/>
    <x v="0"/>
    <x v="1"/>
    <x v="1"/>
    <s v="Yes"/>
    <n v="20"/>
    <n v="10"/>
    <n v="20"/>
  </r>
  <r>
    <n v="3424"/>
    <s v="Fernanda Lima"/>
    <x v="1"/>
    <d v="2024-09-06T00:00:00"/>
    <x v="0"/>
    <x v="1"/>
    <x v="1"/>
    <x v="1"/>
    <x v="1"/>
    <s v="No"/>
    <n v="0"/>
    <n v="0"/>
    <n v="5"/>
  </r>
  <r>
    <n v="3425"/>
    <s v="Gabriel Teixeira"/>
    <x v="0"/>
    <d v="2024-09-07T00:00:00"/>
    <x v="1"/>
    <x v="0"/>
    <x v="0"/>
    <x v="0"/>
    <x v="0"/>
    <s v="Yes"/>
    <n v="20"/>
    <n v="20"/>
    <n v="45"/>
  </r>
  <r>
    <n v="3426"/>
    <s v="Helena Ribeiro"/>
    <x v="2"/>
    <d v="2024-09-08T00:00:00"/>
    <x v="0"/>
    <x v="2"/>
    <x v="2"/>
    <x v="1"/>
    <x v="1"/>
    <s v="Yes"/>
    <n v="20"/>
    <n v="15"/>
    <n v="15"/>
  </r>
  <r>
    <n v="3427"/>
    <s v="Igor Mendes"/>
    <x v="1"/>
    <d v="2024-09-09T00:00:00"/>
    <x v="1"/>
    <x v="1"/>
    <x v="0"/>
    <x v="1"/>
    <x v="1"/>
    <s v="No"/>
    <n v="0"/>
    <n v="1"/>
    <n v="4"/>
  </r>
  <r>
    <n v="3428"/>
    <s v="Joana Silveira"/>
    <x v="0"/>
    <d v="2024-09-10T00:00:00"/>
    <x v="0"/>
    <x v="0"/>
    <x v="1"/>
    <x v="0"/>
    <x v="0"/>
    <s v="Yes"/>
    <n v="20"/>
    <n v="3"/>
    <n v="62"/>
  </r>
  <r>
    <n v="3429"/>
    <s v="Lucas Martins"/>
    <x v="2"/>
    <d v="2024-09-11T00:00:00"/>
    <x v="1"/>
    <x v="2"/>
    <x v="0"/>
    <x v="1"/>
    <x v="1"/>
    <s v="Yes"/>
    <n v="20"/>
    <n v="10"/>
    <n v="20"/>
  </r>
  <r>
    <n v="3430"/>
    <s v="Marcela Gouveia"/>
    <x v="1"/>
    <d v="2024-09-12T00:00:00"/>
    <x v="0"/>
    <x v="1"/>
    <x v="2"/>
    <x v="1"/>
    <x v="1"/>
    <s v="No"/>
    <n v="0"/>
    <n v="0"/>
    <n v="5"/>
  </r>
  <r>
    <n v="3431"/>
    <s v="Nicolas Borges"/>
    <x v="0"/>
    <d v="2024-09-13T00:00:00"/>
    <x v="1"/>
    <x v="0"/>
    <x v="0"/>
    <x v="0"/>
    <x v="0"/>
    <s v="Yes"/>
    <n v="20"/>
    <n v="15"/>
    <n v="50"/>
  </r>
  <r>
    <n v="3432"/>
    <s v="Olivia Freitas"/>
    <x v="2"/>
    <d v="2024-09-14T00:00:00"/>
    <x v="0"/>
    <x v="2"/>
    <x v="1"/>
    <x v="1"/>
    <x v="1"/>
    <s v="Yes"/>
    <n v="20"/>
    <n v="15"/>
    <n v="15"/>
  </r>
  <r>
    <n v="3433"/>
    <s v="Paulo Nogueira"/>
    <x v="1"/>
    <d v="2024-09-15T00:00:00"/>
    <x v="1"/>
    <x v="1"/>
    <x v="0"/>
    <x v="1"/>
    <x v="1"/>
    <s v="No"/>
    <n v="0"/>
    <n v="1"/>
    <n v="4"/>
  </r>
  <r>
    <n v="3434"/>
    <s v="Raquel Andrade"/>
    <x v="0"/>
    <d v="2024-09-16T00:00:00"/>
    <x v="0"/>
    <x v="0"/>
    <x v="2"/>
    <x v="0"/>
    <x v="0"/>
    <s v="Yes"/>
    <n v="20"/>
    <n v="7"/>
    <n v="58"/>
  </r>
  <r>
    <n v="3435"/>
    <s v="Sônia Carvalho"/>
    <x v="2"/>
    <d v="2024-09-17T00:00:00"/>
    <x v="1"/>
    <x v="2"/>
    <x v="0"/>
    <x v="1"/>
    <x v="1"/>
    <s v="Yes"/>
    <n v="20"/>
    <n v="10"/>
    <n v="20"/>
  </r>
  <r>
    <n v="3436"/>
    <s v="Tiago Rodrigues"/>
    <x v="1"/>
    <d v="2024-09-18T00:00:00"/>
    <x v="0"/>
    <x v="1"/>
    <x v="0"/>
    <x v="1"/>
    <x v="1"/>
    <s v="No"/>
    <n v="0"/>
    <n v="0"/>
    <n v="5"/>
  </r>
  <r>
    <n v="3437"/>
    <s v="Ursula Monteiro"/>
    <x v="0"/>
    <d v="2024-09-19T00:00:00"/>
    <x v="1"/>
    <x v="0"/>
    <x v="2"/>
    <x v="0"/>
    <x v="0"/>
    <s v="Yes"/>
    <n v="20"/>
    <n v="7"/>
    <n v="58"/>
  </r>
  <r>
    <n v="3438"/>
    <s v="Vanessa Pereira"/>
    <x v="2"/>
    <d v="2024-09-20T00:00:00"/>
    <x v="0"/>
    <x v="2"/>
    <x v="1"/>
    <x v="1"/>
    <x v="1"/>
    <s v="Yes"/>
    <n v="20"/>
    <n v="10"/>
    <n v="20"/>
  </r>
  <r>
    <n v="3439"/>
    <s v="Walter Silva"/>
    <x v="1"/>
    <d v="2024-09-21T00:00:00"/>
    <x v="1"/>
    <x v="1"/>
    <x v="2"/>
    <x v="1"/>
    <x v="1"/>
    <s v="No"/>
    <n v="0"/>
    <n v="1"/>
    <n v="4"/>
  </r>
  <r>
    <n v="3440"/>
    <s v="Xavier Almeida"/>
    <x v="0"/>
    <d v="2024-09-22T00:00:00"/>
    <x v="0"/>
    <x v="0"/>
    <x v="0"/>
    <x v="0"/>
    <x v="0"/>
    <s v="Yes"/>
    <n v="20"/>
    <n v="15"/>
    <n v="50"/>
  </r>
  <r>
    <n v="3441"/>
    <s v="Yasmine Correia"/>
    <x v="2"/>
    <d v="2024-09-23T00:00:00"/>
    <x v="1"/>
    <x v="2"/>
    <x v="0"/>
    <x v="1"/>
    <x v="1"/>
    <s v="Yes"/>
    <n v="20"/>
    <n v="5"/>
    <n v="25"/>
  </r>
  <r>
    <n v="3442"/>
    <s v="Zacarias Almeida"/>
    <x v="1"/>
    <d v="2024-09-24T00:00:00"/>
    <x v="0"/>
    <x v="1"/>
    <x v="1"/>
    <x v="1"/>
    <x v="1"/>
    <s v="No"/>
    <n v="0"/>
    <n v="0"/>
    <n v="5"/>
  </r>
  <r>
    <n v="3443"/>
    <s v="Amanda Costa"/>
    <x v="0"/>
    <d v="2024-09-25T00:00:00"/>
    <x v="1"/>
    <x v="0"/>
    <x v="2"/>
    <x v="0"/>
    <x v="0"/>
    <s v="Yes"/>
    <n v="20"/>
    <n v="20"/>
    <n v="45"/>
  </r>
  <r>
    <n v="3444"/>
    <s v="Bruno Ferreira"/>
    <x v="2"/>
    <d v="2024-09-26T00:00:00"/>
    <x v="0"/>
    <x v="2"/>
    <x v="2"/>
    <x v="1"/>
    <x v="1"/>
    <s v="Yes"/>
    <n v="20"/>
    <n v="12"/>
    <n v="18"/>
  </r>
  <r>
    <n v="3445"/>
    <s v="Carla Dias"/>
    <x v="1"/>
    <d v="2024-09-27T00:00:00"/>
    <x v="1"/>
    <x v="1"/>
    <x v="0"/>
    <x v="1"/>
    <x v="1"/>
    <s v="No"/>
    <n v="0"/>
    <n v="2"/>
    <n v="3"/>
  </r>
  <r>
    <n v="3446"/>
    <s v="Diogo Martins"/>
    <x v="0"/>
    <d v="2024-09-28T00:00:00"/>
    <x v="0"/>
    <x v="0"/>
    <x v="1"/>
    <x v="0"/>
    <x v="0"/>
    <s v="Yes"/>
    <n v="20"/>
    <n v="5"/>
    <n v="60"/>
  </r>
  <r>
    <n v="3447"/>
    <s v="Elisa Campos"/>
    <x v="2"/>
    <d v="2024-09-29T00:00:00"/>
    <x v="1"/>
    <x v="2"/>
    <x v="0"/>
    <x v="1"/>
    <x v="1"/>
    <s v="Yes"/>
    <n v="20"/>
    <n v="10"/>
    <n v="20"/>
  </r>
  <r>
    <n v="3448"/>
    <s v="Fabiana Lima"/>
    <x v="1"/>
    <d v="2024-09-30T00:00:00"/>
    <x v="0"/>
    <x v="1"/>
    <x v="2"/>
    <x v="1"/>
    <x v="1"/>
    <s v="No"/>
    <n v="0"/>
    <n v="0"/>
    <n v="5"/>
  </r>
  <r>
    <n v="3449"/>
    <s v="Gabriel Santos"/>
    <x v="0"/>
    <d v="2024-10-01T00:00:00"/>
    <x v="1"/>
    <x v="0"/>
    <x v="0"/>
    <x v="0"/>
    <x v="0"/>
    <s v="Yes"/>
    <n v="20"/>
    <n v="3"/>
    <n v="62"/>
  </r>
  <r>
    <n v="3450"/>
    <s v="Helena Ferreira"/>
    <x v="2"/>
    <d v="2024-10-02T00:00:00"/>
    <x v="0"/>
    <x v="2"/>
    <x v="1"/>
    <x v="1"/>
    <x v="1"/>
    <s v="Yes"/>
    <n v="20"/>
    <n v="15"/>
    <n v="15"/>
  </r>
  <r>
    <n v="3451"/>
    <s v="Ígor Nunes"/>
    <x v="1"/>
    <d v="2024-10-03T00:00:00"/>
    <x v="1"/>
    <x v="1"/>
    <x v="0"/>
    <x v="1"/>
    <x v="1"/>
    <s v="No"/>
    <n v="0"/>
    <n v="1"/>
    <n v="4"/>
  </r>
  <r>
    <n v="3452"/>
    <s v="Joana Silveira"/>
    <x v="0"/>
    <d v="2024-10-04T00:00:00"/>
    <x v="0"/>
    <x v="0"/>
    <x v="2"/>
    <x v="0"/>
    <x v="0"/>
    <s v="Yes"/>
    <n v="20"/>
    <n v="7"/>
    <n v="58"/>
  </r>
  <r>
    <n v="3453"/>
    <s v="Kléber Oliveira"/>
    <x v="2"/>
    <d v="2024-10-05T00:00:00"/>
    <x v="1"/>
    <x v="2"/>
    <x v="0"/>
    <x v="1"/>
    <x v="1"/>
    <s v="Yes"/>
    <n v="20"/>
    <n v="10"/>
    <n v="20"/>
  </r>
  <r>
    <n v="3454"/>
    <s v="Luciana Morais"/>
    <x v="1"/>
    <d v="2024-10-06T00:00:00"/>
    <x v="0"/>
    <x v="1"/>
    <x v="1"/>
    <x v="1"/>
    <x v="1"/>
    <s v="No"/>
    <n v="0"/>
    <n v="0"/>
    <n v="5"/>
  </r>
  <r>
    <n v="3455"/>
    <s v="Marcos Vinícius"/>
    <x v="0"/>
    <d v="2024-10-07T00:00:00"/>
    <x v="1"/>
    <x v="0"/>
    <x v="0"/>
    <x v="0"/>
    <x v="0"/>
    <s v="Yes"/>
    <n v="20"/>
    <n v="20"/>
    <n v="45"/>
  </r>
  <r>
    <n v="3456"/>
    <s v="Natália Barros"/>
    <x v="2"/>
    <d v="2024-10-08T00:00:00"/>
    <x v="0"/>
    <x v="2"/>
    <x v="2"/>
    <x v="1"/>
    <x v="1"/>
    <s v="Yes"/>
    <n v="20"/>
    <n v="15"/>
    <n v="15"/>
  </r>
  <r>
    <n v="3457"/>
    <s v="Oscar Sampaio"/>
    <x v="1"/>
    <d v="2024-10-09T00:00:00"/>
    <x v="1"/>
    <x v="1"/>
    <x v="0"/>
    <x v="1"/>
    <x v="1"/>
    <s v="No"/>
    <n v="0"/>
    <n v="1"/>
    <n v="4"/>
  </r>
  <r>
    <n v="3458"/>
    <s v="Patrícia Leite"/>
    <x v="0"/>
    <d v="2024-10-10T00:00:00"/>
    <x v="0"/>
    <x v="0"/>
    <x v="1"/>
    <x v="0"/>
    <x v="0"/>
    <s v="Yes"/>
    <n v="20"/>
    <n v="3"/>
    <n v="62"/>
  </r>
  <r>
    <n v="3459"/>
    <s v="Quênia Rocha"/>
    <x v="2"/>
    <d v="2024-10-11T00:00:00"/>
    <x v="1"/>
    <x v="2"/>
    <x v="0"/>
    <x v="1"/>
    <x v="1"/>
    <s v="Yes"/>
    <n v="20"/>
    <n v="10"/>
    <n v="20"/>
  </r>
  <r>
    <n v="3460"/>
    <s v="Rafael Torres"/>
    <x v="1"/>
    <d v="2024-10-12T00:00:00"/>
    <x v="0"/>
    <x v="1"/>
    <x v="2"/>
    <x v="1"/>
    <x v="1"/>
    <s v="No"/>
    <n v="0"/>
    <n v="0"/>
    <n v="5"/>
  </r>
  <r>
    <n v="3461"/>
    <s v="Sandra Gouveia"/>
    <x v="0"/>
    <d v="2024-10-13T00:00:00"/>
    <x v="1"/>
    <x v="0"/>
    <x v="0"/>
    <x v="0"/>
    <x v="0"/>
    <s v="Yes"/>
    <n v="20"/>
    <n v="15"/>
    <n v="50"/>
  </r>
  <r>
    <n v="3462"/>
    <s v="Tiago Lacerda"/>
    <x v="2"/>
    <d v="2024-10-14T00:00:00"/>
    <x v="0"/>
    <x v="2"/>
    <x v="1"/>
    <x v="1"/>
    <x v="1"/>
    <s v="Yes"/>
    <n v="20"/>
    <n v="15"/>
    <n v="15"/>
  </r>
  <r>
    <n v="3463"/>
    <s v="Ursula Fonseca"/>
    <x v="1"/>
    <d v="2024-10-15T00:00:00"/>
    <x v="1"/>
    <x v="1"/>
    <x v="0"/>
    <x v="1"/>
    <x v="1"/>
    <s v="No"/>
    <n v="0"/>
    <n v="1"/>
    <n v="4"/>
  </r>
  <r>
    <n v="3464"/>
    <s v="Vanessa Andrade"/>
    <x v="0"/>
    <d v="2024-10-16T00:00:00"/>
    <x v="0"/>
    <x v="0"/>
    <x v="2"/>
    <x v="0"/>
    <x v="0"/>
    <s v="Yes"/>
    <n v="20"/>
    <n v="7"/>
    <n v="58"/>
  </r>
  <r>
    <n v="3465"/>
    <s v="William Castro"/>
    <x v="2"/>
    <d v="2024-10-17T00:00:00"/>
    <x v="1"/>
    <x v="2"/>
    <x v="0"/>
    <x v="1"/>
    <x v="1"/>
    <s v="Yes"/>
    <n v="20"/>
    <n v="10"/>
    <n v="20"/>
  </r>
  <r>
    <n v="3466"/>
    <s v="Xavier Monteiro"/>
    <x v="1"/>
    <d v="2024-10-18T00:00:00"/>
    <x v="0"/>
    <x v="1"/>
    <x v="1"/>
    <x v="1"/>
    <x v="1"/>
    <s v="No"/>
    <n v="0"/>
    <n v="0"/>
    <n v="5"/>
  </r>
  <r>
    <n v="3467"/>
    <s v="Yasmin Figueira"/>
    <x v="0"/>
    <d v="2024-10-19T00:00:00"/>
    <x v="1"/>
    <x v="0"/>
    <x v="0"/>
    <x v="0"/>
    <x v="0"/>
    <s v="Yes"/>
    <n v="20"/>
    <n v="15"/>
    <n v="50"/>
  </r>
  <r>
    <n v="3468"/>
    <s v="Zacarias Mendonça"/>
    <x v="2"/>
    <d v="2024-10-20T00:00:00"/>
    <x v="0"/>
    <x v="2"/>
    <x v="2"/>
    <x v="1"/>
    <x v="1"/>
    <s v="Yes"/>
    <n v="20"/>
    <n v="12"/>
    <n v="18"/>
  </r>
  <r>
    <n v="3469"/>
    <s v="Amanda Menezes"/>
    <x v="1"/>
    <d v="2024-10-21T00:00:00"/>
    <x v="1"/>
    <x v="1"/>
    <x v="0"/>
    <x v="1"/>
    <x v="1"/>
    <s v="No"/>
    <n v="0"/>
    <n v="2"/>
    <n v="3"/>
  </r>
  <r>
    <n v="3470"/>
    <s v="Bruno Santos"/>
    <x v="0"/>
    <d v="2024-10-22T00:00:00"/>
    <x v="0"/>
    <x v="0"/>
    <x v="1"/>
    <x v="0"/>
    <x v="0"/>
    <s v="Yes"/>
    <n v="20"/>
    <n v="5"/>
    <n v="60"/>
  </r>
  <r>
    <n v="3471"/>
    <s v="Carla Ferreira"/>
    <x v="2"/>
    <d v="2024-10-23T00:00:00"/>
    <x v="1"/>
    <x v="2"/>
    <x v="0"/>
    <x v="1"/>
    <x v="1"/>
    <s v="Yes"/>
    <n v="20"/>
    <n v="10"/>
    <n v="20"/>
  </r>
  <r>
    <n v="3472"/>
    <s v="Diogo Alves"/>
    <x v="1"/>
    <d v="2024-10-24T00:00:00"/>
    <x v="0"/>
    <x v="1"/>
    <x v="2"/>
    <x v="1"/>
    <x v="1"/>
    <s v="No"/>
    <n v="0"/>
    <n v="0"/>
    <n v="5"/>
  </r>
  <r>
    <n v="3473"/>
    <s v="Elisa Neves"/>
    <x v="0"/>
    <d v="2024-10-25T00:00:00"/>
    <x v="1"/>
    <x v="0"/>
    <x v="0"/>
    <x v="0"/>
    <x v="0"/>
    <s v="Yes"/>
    <n v="20"/>
    <n v="3"/>
    <n v="62"/>
  </r>
  <r>
    <n v="3474"/>
    <s v="Fabiano Pires"/>
    <x v="2"/>
    <d v="2024-10-26T00:00:00"/>
    <x v="0"/>
    <x v="2"/>
    <x v="1"/>
    <x v="1"/>
    <x v="1"/>
    <s v="Yes"/>
    <n v="20"/>
    <n v="15"/>
    <n v="15"/>
  </r>
  <r>
    <n v="3475"/>
    <s v="Giovana Ribeiro"/>
    <x v="1"/>
    <d v="2024-10-27T00:00:00"/>
    <x v="1"/>
    <x v="1"/>
    <x v="0"/>
    <x v="1"/>
    <x v="1"/>
    <s v="No"/>
    <n v="0"/>
    <n v="1"/>
    <n v="4"/>
  </r>
  <r>
    <n v="3476"/>
    <s v="Hélio Costa"/>
    <x v="0"/>
    <d v="2024-10-28T00:00:00"/>
    <x v="0"/>
    <x v="0"/>
    <x v="2"/>
    <x v="0"/>
    <x v="0"/>
    <s v="Yes"/>
    <n v="20"/>
    <n v="7"/>
    <n v="58"/>
  </r>
  <r>
    <n v="3477"/>
    <s v="Íris Loureiro"/>
    <x v="2"/>
    <d v="2024-10-29T00:00:00"/>
    <x v="1"/>
    <x v="2"/>
    <x v="0"/>
    <x v="1"/>
    <x v="1"/>
    <s v="Yes"/>
    <n v="20"/>
    <n v="10"/>
    <n v="20"/>
  </r>
  <r>
    <n v="3478"/>
    <s v="João Pereira"/>
    <x v="1"/>
    <d v="2024-10-30T00:00:00"/>
    <x v="0"/>
    <x v="1"/>
    <x v="1"/>
    <x v="1"/>
    <x v="1"/>
    <s v="No"/>
    <n v="0"/>
    <n v="0"/>
    <n v="5"/>
  </r>
  <r>
    <n v="3479"/>
    <s v="Klara Silva"/>
    <x v="0"/>
    <d v="2024-10-31T00:00:00"/>
    <x v="1"/>
    <x v="0"/>
    <x v="0"/>
    <x v="0"/>
    <x v="0"/>
    <s v="Yes"/>
    <n v="20"/>
    <n v="20"/>
    <n v="45"/>
  </r>
  <r>
    <n v="3480"/>
    <s v="Luciana Barros"/>
    <x v="2"/>
    <d v="2024-11-01T00:00:00"/>
    <x v="0"/>
    <x v="2"/>
    <x v="2"/>
    <x v="1"/>
    <x v="1"/>
    <s v="Yes"/>
    <n v="20"/>
    <n v="15"/>
    <n v="15"/>
  </r>
  <r>
    <n v="3481"/>
    <s v="Marcos Gomes"/>
    <x v="1"/>
    <d v="2024-11-02T00:00:00"/>
    <x v="1"/>
    <x v="1"/>
    <x v="0"/>
    <x v="1"/>
    <x v="1"/>
    <s v="No"/>
    <n v="0"/>
    <n v="1"/>
    <n v="4"/>
  </r>
  <r>
    <n v="3482"/>
    <s v="Natália Soares"/>
    <x v="0"/>
    <d v="2024-11-03T00:00:00"/>
    <x v="0"/>
    <x v="0"/>
    <x v="1"/>
    <x v="0"/>
    <x v="0"/>
    <s v="Yes"/>
    <n v="20"/>
    <n v="3"/>
    <n v="62"/>
  </r>
  <r>
    <n v="3483"/>
    <s v="Oscar Machado"/>
    <x v="2"/>
    <d v="2024-11-04T00:00:00"/>
    <x v="1"/>
    <x v="2"/>
    <x v="0"/>
    <x v="1"/>
    <x v="1"/>
    <s v="Yes"/>
    <n v="20"/>
    <n v="10"/>
    <n v="20"/>
  </r>
  <r>
    <n v="3484"/>
    <s v="Patrícia Lima"/>
    <x v="1"/>
    <d v="2024-11-05T00:00:00"/>
    <x v="0"/>
    <x v="1"/>
    <x v="2"/>
    <x v="1"/>
    <x v="1"/>
    <s v="No"/>
    <n v="0"/>
    <n v="0"/>
    <n v="5"/>
  </r>
  <r>
    <n v="3485"/>
    <s v="Quirino Neto"/>
    <x v="0"/>
    <d v="2024-11-06T00:00:00"/>
    <x v="1"/>
    <x v="0"/>
    <x v="0"/>
    <x v="0"/>
    <x v="0"/>
    <s v="Yes"/>
    <n v="20"/>
    <n v="15"/>
    <n v="50"/>
  </r>
  <r>
    <n v="3486"/>
    <s v="Rafaela Souza"/>
    <x v="1"/>
    <d v="2024-11-07T00:00:00"/>
    <x v="0"/>
    <x v="1"/>
    <x v="0"/>
    <x v="1"/>
    <x v="1"/>
    <s v="No"/>
    <n v="0"/>
    <n v="0"/>
    <n v="5"/>
  </r>
  <r>
    <n v="3487"/>
    <s v="Sandro Almeida"/>
    <x v="0"/>
    <d v="2024-11-08T00:00:00"/>
    <x v="1"/>
    <x v="0"/>
    <x v="2"/>
    <x v="0"/>
    <x v="0"/>
    <s v="Yes"/>
    <n v="20"/>
    <n v="7"/>
    <n v="58"/>
  </r>
  <r>
    <n v="3488"/>
    <s v="Tânia Ribeiro"/>
    <x v="2"/>
    <d v="2024-11-09T00:00:00"/>
    <x v="0"/>
    <x v="2"/>
    <x v="1"/>
    <x v="1"/>
    <x v="1"/>
    <s v="Yes"/>
    <n v="20"/>
    <n v="10"/>
    <n v="20"/>
  </r>
  <r>
    <n v="3489"/>
    <s v="Ugo Dias"/>
    <x v="1"/>
    <d v="2024-11-10T00:00:00"/>
    <x v="1"/>
    <x v="1"/>
    <x v="2"/>
    <x v="1"/>
    <x v="1"/>
    <s v="No"/>
    <n v="0"/>
    <n v="1"/>
    <n v="4"/>
  </r>
  <r>
    <n v="3490"/>
    <s v="Valéria Lima"/>
    <x v="0"/>
    <d v="2024-11-11T00:00:00"/>
    <x v="0"/>
    <x v="0"/>
    <x v="0"/>
    <x v="0"/>
    <x v="0"/>
    <s v="Yes"/>
    <n v="20"/>
    <n v="15"/>
    <n v="50"/>
  </r>
  <r>
    <n v="3491"/>
    <s v="William Fernandes"/>
    <x v="2"/>
    <d v="2024-11-12T00:00:00"/>
    <x v="1"/>
    <x v="2"/>
    <x v="0"/>
    <x v="1"/>
    <x v="1"/>
    <s v="Yes"/>
    <n v="20"/>
    <n v="5"/>
    <n v="25"/>
  </r>
  <r>
    <n v="3492"/>
    <s v="Xuxa Mendes"/>
    <x v="1"/>
    <d v="2024-11-13T00:00:00"/>
    <x v="0"/>
    <x v="1"/>
    <x v="1"/>
    <x v="1"/>
    <x v="1"/>
    <s v="No"/>
    <n v="0"/>
    <n v="0"/>
    <n v="5"/>
  </r>
  <r>
    <n v="3493"/>
    <s v="Ygor Farias"/>
    <x v="0"/>
    <d v="2024-11-14T00:00:00"/>
    <x v="1"/>
    <x v="0"/>
    <x v="2"/>
    <x v="0"/>
    <x v="0"/>
    <s v="Yes"/>
    <n v="20"/>
    <n v="20"/>
    <n v="45"/>
  </r>
  <r>
    <n v="3494"/>
    <s v="Zilda Barros"/>
    <x v="2"/>
    <d v="2024-11-15T00:00:00"/>
    <x v="0"/>
    <x v="2"/>
    <x v="2"/>
    <x v="1"/>
    <x v="1"/>
    <s v="Yes"/>
    <n v="20"/>
    <n v="12"/>
    <n v="18"/>
  </r>
  <r>
    <n v="3495"/>
    <s v="Amanda Santos"/>
    <x v="1"/>
    <d v="2024-11-16T00:00:00"/>
    <x v="1"/>
    <x v="1"/>
    <x v="0"/>
    <x v="1"/>
    <x v="1"/>
    <s v="No"/>
    <n v="0"/>
    <n v="2"/>
    <n v="3"/>
  </r>
  <r>
    <n v="3496"/>
    <s v="Bruno Costa"/>
    <x v="0"/>
    <d v="2024-11-17T00:00:00"/>
    <x v="0"/>
    <x v="0"/>
    <x v="1"/>
    <x v="0"/>
    <x v="0"/>
    <s v="Yes"/>
    <n v="20"/>
    <n v="5"/>
    <n v="60"/>
  </r>
  <r>
    <n v="3497"/>
    <s v="Carla Rodrigues"/>
    <x v="2"/>
    <d v="2024-11-18T00:00:00"/>
    <x v="1"/>
    <x v="2"/>
    <x v="0"/>
    <x v="1"/>
    <x v="1"/>
    <s v="Yes"/>
    <n v="20"/>
    <n v="10"/>
    <n v="20"/>
  </r>
  <r>
    <n v="3498"/>
    <s v="Diogo Pereira"/>
    <x v="1"/>
    <d v="2024-11-19T00:00:00"/>
    <x v="0"/>
    <x v="1"/>
    <x v="2"/>
    <x v="1"/>
    <x v="1"/>
    <s v="No"/>
    <n v="0"/>
    <n v="0"/>
    <n v="5"/>
  </r>
  <r>
    <n v="3499"/>
    <s v="Elisa Correia"/>
    <x v="0"/>
    <d v="2024-11-20T00:00:00"/>
    <x v="1"/>
    <x v="0"/>
    <x v="0"/>
    <x v="0"/>
    <x v="0"/>
    <s v="Yes"/>
    <n v="20"/>
    <n v="3"/>
    <n v="62"/>
  </r>
  <r>
    <n v="3500"/>
    <s v="Fábio Lourenço"/>
    <x v="2"/>
    <d v="2024-11-21T00:00:00"/>
    <x v="0"/>
    <x v="2"/>
    <x v="1"/>
    <x v="1"/>
    <x v="1"/>
    <s v="Yes"/>
    <n v="20"/>
    <n v="15"/>
    <n v="15"/>
  </r>
  <r>
    <n v="3501"/>
    <s v="Gabriela Neves"/>
    <x v="1"/>
    <d v="2024-11-22T00:00:00"/>
    <x v="1"/>
    <x v="1"/>
    <x v="0"/>
    <x v="1"/>
    <x v="1"/>
    <s v="No"/>
    <n v="0"/>
    <n v="1"/>
    <n v="4"/>
  </r>
  <r>
    <n v="3502"/>
    <s v="Henrique Gonçalves"/>
    <x v="0"/>
    <d v="2024-11-23T00:00:00"/>
    <x v="0"/>
    <x v="0"/>
    <x v="2"/>
    <x v="0"/>
    <x v="0"/>
    <s v="Yes"/>
    <n v="20"/>
    <n v="7"/>
    <n v="58"/>
  </r>
  <r>
    <n v="3503"/>
    <s v="Íris Santos"/>
    <x v="2"/>
    <d v="2024-11-24T00:00:00"/>
    <x v="1"/>
    <x v="2"/>
    <x v="0"/>
    <x v="1"/>
    <x v="1"/>
    <s v="Yes"/>
    <n v="20"/>
    <n v="10"/>
    <n v="20"/>
  </r>
  <r>
    <n v="3504"/>
    <s v="João Marcelo Alves"/>
    <x v="1"/>
    <d v="2024-11-25T00:00:00"/>
    <x v="0"/>
    <x v="1"/>
    <x v="1"/>
    <x v="1"/>
    <x v="1"/>
    <s v="No"/>
    <n v="0"/>
    <n v="0"/>
    <n v="5"/>
  </r>
  <r>
    <n v="3505"/>
    <s v="Klara Fonseca"/>
    <x v="0"/>
    <d v="2024-11-26T00:00:00"/>
    <x v="1"/>
    <x v="0"/>
    <x v="0"/>
    <x v="0"/>
    <x v="0"/>
    <s v="Yes"/>
    <n v="20"/>
    <n v="20"/>
    <n v="45"/>
  </r>
  <r>
    <n v="3506"/>
    <s v="Lucas Mendonça"/>
    <x v="2"/>
    <d v="2024-11-27T00:00:00"/>
    <x v="0"/>
    <x v="2"/>
    <x v="2"/>
    <x v="1"/>
    <x v="1"/>
    <s v="Yes"/>
    <n v="20"/>
    <n v="15"/>
    <n v="15"/>
  </r>
  <r>
    <n v="3507"/>
    <s v="Marcela Torres"/>
    <x v="1"/>
    <d v="2024-11-28T00:00:00"/>
    <x v="1"/>
    <x v="1"/>
    <x v="0"/>
    <x v="1"/>
    <x v="1"/>
    <s v="No"/>
    <n v="0"/>
    <n v="1"/>
    <n v="4"/>
  </r>
  <r>
    <n v="3508"/>
    <s v="Natália Castro"/>
    <x v="0"/>
    <d v="2024-11-29T00:00:00"/>
    <x v="0"/>
    <x v="0"/>
    <x v="1"/>
    <x v="0"/>
    <x v="0"/>
    <s v="Yes"/>
    <n v="20"/>
    <n v="3"/>
    <n v="62"/>
  </r>
  <r>
    <n v="3509"/>
    <s v="Oscar Martins"/>
    <x v="2"/>
    <d v="2024-11-30T00:00:00"/>
    <x v="1"/>
    <x v="2"/>
    <x v="0"/>
    <x v="1"/>
    <x v="1"/>
    <s v="Yes"/>
    <n v="20"/>
    <n v="10"/>
    <n v="20"/>
  </r>
  <r>
    <n v="3510"/>
    <s v="Patrícia Oliveira"/>
    <x v="1"/>
    <d v="2024-12-01T00:00:00"/>
    <x v="0"/>
    <x v="1"/>
    <x v="2"/>
    <x v="1"/>
    <x v="1"/>
    <s v="No"/>
    <n v="0"/>
    <n v="0"/>
    <n v="5"/>
  </r>
  <r>
    <n v="3511"/>
    <s v="Quentin Nogueira"/>
    <x v="0"/>
    <d v="2024-12-02T00:00:00"/>
    <x v="1"/>
    <x v="0"/>
    <x v="0"/>
    <x v="0"/>
    <x v="0"/>
    <s v="Yes"/>
    <n v="20"/>
    <n v="15"/>
    <n v="50"/>
  </r>
  <r>
    <n v="3512"/>
    <s v="Raquel Silva"/>
    <x v="2"/>
    <d v="2024-12-03T00:00:00"/>
    <x v="0"/>
    <x v="2"/>
    <x v="1"/>
    <x v="1"/>
    <x v="1"/>
    <s v="Yes"/>
    <n v="20"/>
    <n v="15"/>
    <n v="15"/>
  </r>
  <r>
    <n v="3513"/>
    <s v="Sandro Gomes"/>
    <x v="1"/>
    <d v="2024-12-04T00:00:00"/>
    <x v="1"/>
    <x v="1"/>
    <x v="0"/>
    <x v="1"/>
    <x v="1"/>
    <s v="No"/>
    <n v="0"/>
    <n v="1"/>
    <n v="4"/>
  </r>
  <r>
    <n v="3514"/>
    <s v="Tânia Machado"/>
    <x v="0"/>
    <d v="2024-12-05T00:00:00"/>
    <x v="0"/>
    <x v="0"/>
    <x v="2"/>
    <x v="0"/>
    <x v="0"/>
    <s v="Yes"/>
    <n v="20"/>
    <n v="7"/>
    <n v="58"/>
  </r>
  <r>
    <n v="3515"/>
    <s v="Ursula Silva"/>
    <x v="2"/>
    <d v="2024-12-06T00:00:00"/>
    <x v="1"/>
    <x v="2"/>
    <x v="0"/>
    <x v="1"/>
    <x v="1"/>
    <s v="Yes"/>
    <n v="20"/>
    <n v="10"/>
    <n v="20"/>
  </r>
  <r>
    <n v="3516"/>
    <s v="Vanessa Moraes"/>
    <x v="1"/>
    <d v="2024-12-07T00:00:00"/>
    <x v="0"/>
    <x v="1"/>
    <x v="1"/>
    <x v="1"/>
    <x v="1"/>
    <s v="No"/>
    <n v="0"/>
    <n v="0"/>
    <n v="5"/>
  </r>
  <r>
    <n v="3517"/>
    <s v="William Carvalho"/>
    <x v="0"/>
    <d v="2024-12-08T00:00:00"/>
    <x v="1"/>
    <x v="0"/>
    <x v="0"/>
    <x v="0"/>
    <x v="0"/>
    <s v="Yes"/>
    <n v="20"/>
    <n v="20"/>
    <n v="45"/>
  </r>
  <r>
    <n v="3518"/>
    <s v="Xavier Reis"/>
    <x v="2"/>
    <d v="2024-12-09T00:00:00"/>
    <x v="0"/>
    <x v="2"/>
    <x v="2"/>
    <x v="1"/>
    <x v="1"/>
    <s v="Yes"/>
    <n v="20"/>
    <n v="12"/>
    <n v="18"/>
  </r>
  <r>
    <n v="3519"/>
    <s v="Yasmin Rocha"/>
    <x v="1"/>
    <d v="2024-12-10T00:00:00"/>
    <x v="1"/>
    <x v="1"/>
    <x v="0"/>
    <x v="1"/>
    <x v="1"/>
    <s v="No"/>
    <n v="0"/>
    <n v="2"/>
    <n v="3"/>
  </r>
  <r>
    <n v="3520"/>
    <s v="Zacarias Duarte"/>
    <x v="0"/>
    <d v="2024-12-11T00:00:00"/>
    <x v="0"/>
    <x v="0"/>
    <x v="1"/>
    <x v="0"/>
    <x v="0"/>
    <s v="Yes"/>
    <n v="20"/>
    <n v="5"/>
    <n v="60"/>
  </r>
  <r>
    <n v="3521"/>
    <s v="Amanda Freitas"/>
    <x v="2"/>
    <d v="2024-12-12T00:00:00"/>
    <x v="1"/>
    <x v="2"/>
    <x v="0"/>
    <x v="1"/>
    <x v="1"/>
    <s v="Yes"/>
    <n v="20"/>
    <n v="10"/>
    <n v="20"/>
  </r>
  <r>
    <n v="3522"/>
    <s v="Bruno Almeida"/>
    <x v="1"/>
    <d v="2024-12-13T00:00:00"/>
    <x v="0"/>
    <x v="1"/>
    <x v="2"/>
    <x v="1"/>
    <x v="1"/>
    <s v="No"/>
    <n v="0"/>
    <n v="0"/>
    <n v="5"/>
  </r>
  <r>
    <n v="3523"/>
    <s v="Carla Siqueira"/>
    <x v="0"/>
    <d v="2024-12-14T00:00:00"/>
    <x v="1"/>
    <x v="0"/>
    <x v="0"/>
    <x v="0"/>
    <x v="0"/>
    <s v="Yes"/>
    <n v="20"/>
    <n v="3"/>
    <n v="62"/>
  </r>
  <r>
    <n v="3524"/>
    <s v="Diogo Ramos"/>
    <x v="2"/>
    <d v="2024-12-15T00:00:00"/>
    <x v="0"/>
    <x v="2"/>
    <x v="1"/>
    <x v="1"/>
    <x v="1"/>
    <s v="Yes"/>
    <n v="20"/>
    <n v="15"/>
    <n v="15"/>
  </r>
  <r>
    <n v="3525"/>
    <s v="Elisa Magalhães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537F5-C6B9-4939-85C0-06FDA3B5184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Receita por Plano">
  <location ref="B67:C71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n="No" x="1"/>
        <item n="Yes"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5"/>
  </dataFields>
  <formats count="3">
    <format dxfId="2">
      <pivotArea grandRow="1" outline="0" collapsedLevelsAreSubtotals="1" fieldPosition="0"/>
    </format>
    <format dxfId="3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0">
      <pivotArea outline="0" collapsedLevelsAreSubtotals="1" fieldPosition="0"/>
    </format>
  </formats>
  <chartFormats count="5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680BB-9BC0-4459-9F7B-A97CA57F6781}" name="tbl_total_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C10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5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9837C-6391-48AB-AB01-D49BFBCB15F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lan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n="No" x="1"/>
        <item n="Yes"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9">
      <pivotArea collapsedLevelsAreSubtotals="1" fieldPosition="0">
        <references count="1">
          <reference field="6" count="0"/>
        </references>
      </pivotArea>
    </format>
    <format dxfId="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7E737-C9E4-4979-999A-4E46E000AA7F}" name="tbl_ea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lan">
  <location ref="B25:C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n="No" x="1"/>
        <item n="Yes"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13">
      <pivotArea grandRow="1" outline="0" collapsedLevelsAreSubtotals="1" fieldPosition="0"/>
    </format>
    <format dxfId="14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08598-EC29-4519-AB3B-172A19B3EF1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Subscription Type">
  <location ref="B58:C59" firstHeaderRow="0" firstDataRow="1" firstDataCol="0" rowPageCount="1" colPageCount="1"/>
  <pivotFields count="13">
    <pivotField showAll="0"/>
    <pivotField showAll="0"/>
    <pivotField axis="axisPage" dataField="1" showAll="0">
      <items count="4">
        <item x="1"/>
        <item x="2"/>
        <item x="0"/>
        <item t="default"/>
      </items>
    </pivotField>
    <pivotField numFmtId="14" showAll="0"/>
    <pivotField showAll="0">
      <items count="3">
        <item n="No" x="1"/>
        <item n="Yes"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Contagem de Plan" fld="2" subtotal="count" baseField="0" baseItem="0"/>
    <dataField name="Soma de Total Value" fld="12" baseField="0" baseItem="0" numFmtId="165"/>
  </dataFields>
  <formats count="4">
    <format dxfId="4">
      <pivotArea grandRow="1" outline="0" collapsedLevelsAreSubtotals="1" fieldPosition="0"/>
    </format>
    <format dxfId="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CE174-39AC-479F-A2AE-E38C42F5C0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lan">
  <location ref="B47:C5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n="No" x="1"/>
        <item n="Yes"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formats count="2">
    <format dxfId="7">
      <pivotArea collapsedLevelsAreSubtotals="1" fieldPosition="0">
        <references count="1">
          <reference field="6" count="0"/>
        </references>
      </pivotArea>
    </format>
    <format dxfId="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A5AF8-24FF-430B-B04F-513785579736}" name="tbl_totalVend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Auto Renovável?">
  <location ref="B15:C18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n="No" x="1"/>
        <item n="Yes"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formats count="2">
    <format dxfId="11">
      <pivotArea collapsedLevelsAreSubtotals="1" fieldPosition="0">
        <references count="1">
          <reference field="6" count="0"/>
        </references>
      </pivotArea>
    </format>
    <format dxfId="12">
      <pivotArea grandRow="1" outline="0" collapsedLevelsAreSubtotals="1" fieldPosition="0"/>
    </format>
  </formats>
  <chartFormats count="3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B27563C-A021-404C-AD3E-E695BCDADAEE}" sourceName="Subscription Type">
  <pivotTables>
    <pivotTable tabId="3" name="tbl_easeasonpass"/>
    <pivotTable tabId="3" name="tbl_totalVendas"/>
    <pivotTable tabId="3" name="Tabela dinâmica4"/>
    <pivotTable tabId="3" name="Tabela dinâmica1"/>
    <pivotTable tabId="3" name="Tabela dinâmica2"/>
    <pivotTable tabId="3" name="Tabela dinâmica3"/>
  </pivotTables>
  <data>
    <tabular pivotCacheId="154686420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F8A6E8E-FEAE-4C43-8F1A-F6836C39C66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44">
  <autoFilter ref="A1:M296" xr:uid="{34E0E886-4200-4B36-97B3-63DB74FF40A0}"/>
  <tableColumns count="13">
    <tableColumn id="1" xr3:uid="{C4A90516-688A-46BF-9167-EA16C2A8A652}" name="Subscriber ID" dataDxfId="43" totalsRowDxfId="42"/>
    <tableColumn id="2" xr3:uid="{53DD39D0-2220-4121-9E9D-4EAA7E151C0F}" name="Name" dataDxfId="41" totalsRowDxfId="40"/>
    <tableColumn id="3" xr3:uid="{4F5FF271-4C57-4BE0-8F2C-F82C8551625C}" name="Plan" dataDxfId="39" totalsRowDxfId="38"/>
    <tableColumn id="4" xr3:uid="{8C17EB93-79B9-4E55-B8F7-BEB82F8253E9}" name="Start Date" dataDxfId="37" totalsRowDxfId="36"/>
    <tableColumn id="5" xr3:uid="{48CEDF9B-1689-482A-A828-5CCE7713264A}" name="Auto Renewal" dataDxfId="35" totalsRowDxfId="34"/>
    <tableColumn id="6" xr3:uid="{78B82374-9AA7-4E38-AE4F-78CDE6C83720}" name="Subscription Price" totalsRowFunction="sum" dataDxfId="33" totalsRowDxfId="32" dataCellStyle="Moeda" totalsRowCellStyle="Moeda"/>
    <tableColumn id="7" xr3:uid="{F2433F68-AF33-49D0-B1FB-19A396074EDE}" name="Subscription Type" dataDxfId="31" totalsRowDxfId="30"/>
    <tableColumn id="8" xr3:uid="{FD4D9C95-F6E5-4933-9068-A71FF7DF9343}" name="EA Play Season Pass" dataDxfId="29" totalsRowDxfId="28"/>
    <tableColumn id="13" xr3:uid="{978DD0D2-834E-4CE4-A39B-30976086932F}" name="EA Play Season Pass_x000a_Price" totalsRowFunction="sum" dataDxfId="27" totalsRowDxfId="26" dataCellStyle="Moeda" totalsRowCellStyle="Moeda"/>
    <tableColumn id="9" xr3:uid="{6E29F111-C395-4580-9DAD-3407D9E8B1A4}" name="Minecraft Season Pass" dataDxfId="25" totalsRowDxfId="24"/>
    <tableColumn id="10" xr3:uid="{EF544EAA-7F25-4FD5-A10E-8E62804DB9E3}" name="Minecraft Season Pass Price" totalsRowFunction="sum" dataDxfId="23" totalsRowDxfId="22" dataCellStyle="Moeda" totalsRowCellStyle="Moeda"/>
    <tableColumn id="11" xr3:uid="{7F6EB64A-1F07-4E48-9F0F-AC7D9DCD26F8}" name="Coupon Value" totalsRowFunction="sum" dataDxfId="21" totalsRowDxfId="20" dataCellStyle="Moeda" totalsRowCellStyle="Moeda"/>
    <tableColumn id="12" xr3:uid="{2B04ABC8-DE6F-426E-ADC0-D8AFC68CA58E}" name="Total Value" totalsRowFunction="sum" dataDxfId="19" totalsRowDxfId="18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319</v>
      </c>
      <c r="C5" t="s">
        <v>3</v>
      </c>
      <c r="E5" s="7" t="s">
        <v>316</v>
      </c>
      <c r="F5" t="s">
        <v>2</v>
      </c>
    </row>
    <row r="6" spans="2:16" x14ac:dyDescent="0.25">
      <c r="B6" s="4" t="s">
        <v>318</v>
      </c>
      <c r="C6" t="s">
        <v>3</v>
      </c>
    </row>
    <row r="7" spans="2:16" x14ac:dyDescent="0.25">
      <c r="B7" s="5" t="s">
        <v>315</v>
      </c>
      <c r="C7" t="s">
        <v>4</v>
      </c>
    </row>
    <row r="8" spans="2:16" x14ac:dyDescent="0.25">
      <c r="B8" s="6" t="s">
        <v>317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303"/>
  <sheetViews>
    <sheetView topLeftCell="D278" zoomScale="90" zoomScaleNormal="90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6.140625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  <row r="297" spans="1:13" x14ac:dyDescent="0.25">
      <c r="A297" s="8"/>
      <c r="B297" s="8"/>
      <c r="C297" s="8"/>
      <c r="D297" s="8"/>
      <c r="E297" s="8"/>
      <c r="F297" s="11">
        <f>SUBTOTAL(109,Tabela1[Subscription Price])</f>
        <v>2935</v>
      </c>
      <c r="G297" s="8"/>
      <c r="H297" s="8"/>
      <c r="I297" s="11">
        <f>SUBTOTAL(109,Tabela1[EA Play Season Pass
Price])</f>
        <v>2940</v>
      </c>
      <c r="J297" s="8"/>
      <c r="K297" s="11">
        <f>SUBTOTAL(109,Tabela1[Minecraft Season Pass Price])</f>
        <v>3880</v>
      </c>
      <c r="L297" s="11">
        <f>SUBTOTAL(109,Tabela1[Coupon Value])</f>
        <v>2122</v>
      </c>
      <c r="M297" s="11">
        <f>SUBTOTAL(109,Tabela1[Total Value])</f>
        <v>7633</v>
      </c>
    </row>
    <row r="303" spans="1:13" x14ac:dyDescent="0.25">
      <c r="L303" s="2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71"/>
  <sheetViews>
    <sheetView showGridLines="0" topLeftCell="A55" workbookViewId="0">
      <selection activeCell="B8" sqref="B8"/>
    </sheetView>
  </sheetViews>
  <sheetFormatPr defaultRowHeight="15" x14ac:dyDescent="0.25"/>
  <cols>
    <col min="1" max="1" width="3.85546875" style="12" customWidth="1"/>
    <col min="2" max="2" width="19.140625" style="12" bestFit="1" customWidth="1"/>
    <col min="3" max="4" width="19.28515625" style="12" bestFit="1" customWidth="1"/>
    <col min="5" max="6" width="10.7109375" style="12" bestFit="1" customWidth="1"/>
    <col min="7" max="7" width="27.7109375" style="12" bestFit="1" customWidth="1"/>
    <col min="8" max="8" width="5.42578125" style="12" customWidth="1"/>
    <col min="9" max="9" width="21.140625" style="12" bestFit="1" customWidth="1"/>
    <col min="10" max="11" width="35.140625" style="12" bestFit="1" customWidth="1"/>
    <col min="12" max="15" width="9.7109375" style="12" bestFit="1" customWidth="1"/>
    <col min="16" max="16" width="15.5703125" style="12" bestFit="1" customWidth="1"/>
    <col min="17" max="17" width="12.140625" style="12" bestFit="1" customWidth="1"/>
    <col min="18" max="16384" width="9.140625" style="12"/>
  </cols>
  <sheetData>
    <row r="2" spans="2:6" x14ac:dyDescent="0.25">
      <c r="B2" s="12" t="s">
        <v>308</v>
      </c>
    </row>
    <row r="4" spans="2:6" x14ac:dyDescent="0.25">
      <c r="B4" s="13" t="s">
        <v>313</v>
      </c>
    </row>
    <row r="6" spans="2:6" x14ac:dyDescent="0.25">
      <c r="B6" s="14" t="s">
        <v>309</v>
      </c>
      <c r="C6" s="16" t="s">
        <v>311</v>
      </c>
      <c r="D6"/>
      <c r="E6"/>
      <c r="F6"/>
    </row>
    <row r="7" spans="2:6" x14ac:dyDescent="0.25">
      <c r="B7" s="15" t="s">
        <v>19</v>
      </c>
      <c r="C7" s="16">
        <v>1754</v>
      </c>
      <c r="D7"/>
      <c r="E7"/>
      <c r="F7"/>
    </row>
    <row r="8" spans="2:6" x14ac:dyDescent="0.25">
      <c r="B8" s="15" t="s">
        <v>15</v>
      </c>
      <c r="C8" s="16">
        <v>3571</v>
      </c>
      <c r="D8"/>
      <c r="E8"/>
      <c r="F8"/>
    </row>
    <row r="9" spans="2:6" x14ac:dyDescent="0.25">
      <c r="B9" s="15" t="s">
        <v>22</v>
      </c>
      <c r="C9" s="16">
        <v>2308</v>
      </c>
      <c r="D9"/>
      <c r="E9"/>
      <c r="F9"/>
    </row>
    <row r="10" spans="2:6" x14ac:dyDescent="0.25">
      <c r="B10" s="15" t="s">
        <v>310</v>
      </c>
      <c r="C10" s="16">
        <v>7633</v>
      </c>
      <c r="D10"/>
      <c r="E10"/>
      <c r="F10"/>
    </row>
    <row r="11" spans="2:6" x14ac:dyDescent="0.25">
      <c r="B11" s="13" t="s">
        <v>312</v>
      </c>
      <c r="C11"/>
      <c r="D11"/>
    </row>
    <row r="13" spans="2:6" x14ac:dyDescent="0.25">
      <c r="B13" s="14" t="s">
        <v>11</v>
      </c>
      <c r="C13" t="s">
        <v>19</v>
      </c>
    </row>
    <row r="14" spans="2:6" x14ac:dyDescent="0.25">
      <c r="B14"/>
      <c r="C14"/>
      <c r="D14"/>
    </row>
    <row r="15" spans="2:6" x14ac:dyDescent="0.25">
      <c r="B15" s="14" t="s">
        <v>314</v>
      </c>
      <c r="C15" t="s">
        <v>311</v>
      </c>
      <c r="D15"/>
      <c r="E15"/>
      <c r="F15"/>
    </row>
    <row r="16" spans="2:6" x14ac:dyDescent="0.25">
      <c r="B16" s="15" t="s">
        <v>18</v>
      </c>
      <c r="C16" s="16">
        <v>217</v>
      </c>
      <c r="D16"/>
      <c r="E16"/>
      <c r="F16"/>
    </row>
    <row r="17" spans="2:6" x14ac:dyDescent="0.25">
      <c r="B17" s="15" t="s">
        <v>14</v>
      </c>
      <c r="C17" s="16">
        <v>1537</v>
      </c>
      <c r="D17"/>
      <c r="E17"/>
      <c r="F17"/>
    </row>
    <row r="18" spans="2:6" x14ac:dyDescent="0.25">
      <c r="B18" s="15" t="s">
        <v>310</v>
      </c>
      <c r="C18" s="16">
        <v>1754</v>
      </c>
      <c r="D18"/>
      <c r="E18"/>
      <c r="F18"/>
    </row>
    <row r="19" spans="2:6" x14ac:dyDescent="0.25">
      <c r="B19"/>
      <c r="C19"/>
      <c r="D19"/>
      <c r="E19"/>
      <c r="F19"/>
    </row>
    <row r="20" spans="2:6" x14ac:dyDescent="0.25">
      <c r="B20"/>
      <c r="C20"/>
      <c r="D20"/>
      <c r="E20"/>
    </row>
    <row r="21" spans="2:6" x14ac:dyDescent="0.25">
      <c r="B21" s="13" t="s">
        <v>321</v>
      </c>
      <c r="C21"/>
      <c r="D21"/>
    </row>
    <row r="22" spans="2:6" x14ac:dyDescent="0.25">
      <c r="B22" s="13"/>
      <c r="C22"/>
      <c r="D22"/>
    </row>
    <row r="23" spans="2:6" x14ac:dyDescent="0.25">
      <c r="B23" s="14" t="s">
        <v>11</v>
      </c>
      <c r="C23" t="s">
        <v>19</v>
      </c>
      <c r="D23"/>
    </row>
    <row r="24" spans="2:6" x14ac:dyDescent="0.25">
      <c r="B24"/>
      <c r="C24"/>
      <c r="D24"/>
    </row>
    <row r="25" spans="2:6" x14ac:dyDescent="0.25">
      <c r="B25" s="14" t="s">
        <v>8</v>
      </c>
      <c r="C25" s="16" t="s">
        <v>322</v>
      </c>
    </row>
    <row r="26" spans="2:6" x14ac:dyDescent="0.25">
      <c r="B26" s="15" t="s">
        <v>17</v>
      </c>
      <c r="C26" s="16">
        <v>0</v>
      </c>
    </row>
    <row r="27" spans="2:6" x14ac:dyDescent="0.25">
      <c r="B27" s="15" t="s">
        <v>21</v>
      </c>
      <c r="C27" s="16">
        <v>0</v>
      </c>
    </row>
    <row r="28" spans="2:6" x14ac:dyDescent="0.25">
      <c r="B28" s="15" t="s">
        <v>13</v>
      </c>
      <c r="C28" s="16">
        <v>600</v>
      </c>
    </row>
    <row r="29" spans="2:6" x14ac:dyDescent="0.25">
      <c r="B29" s="15" t="s">
        <v>310</v>
      </c>
      <c r="C29" s="16">
        <v>600</v>
      </c>
      <c r="E29" s="18">
        <f>$C$29</f>
        <v>600</v>
      </c>
    </row>
    <row r="30" spans="2:6" x14ac:dyDescent="0.25">
      <c r="B30"/>
      <c r="C30"/>
    </row>
    <row r="31" spans="2:6" x14ac:dyDescent="0.25">
      <c r="B31"/>
      <c r="C31"/>
    </row>
    <row r="32" spans="2:6" x14ac:dyDescent="0.25">
      <c r="B32" s="19" t="s">
        <v>323</v>
      </c>
      <c r="C32"/>
    </row>
    <row r="34" spans="2:5" x14ac:dyDescent="0.25">
      <c r="B34" s="14" t="s">
        <v>11</v>
      </c>
      <c r="C34" t="s">
        <v>19</v>
      </c>
    </row>
    <row r="35" spans="2:5" x14ac:dyDescent="0.25">
      <c r="B35"/>
      <c r="C35"/>
    </row>
    <row r="36" spans="2:5" x14ac:dyDescent="0.25">
      <c r="B36" s="14" t="s">
        <v>8</v>
      </c>
      <c r="C36" t="s">
        <v>324</v>
      </c>
    </row>
    <row r="37" spans="2:5" x14ac:dyDescent="0.25">
      <c r="B37" s="15" t="s">
        <v>17</v>
      </c>
      <c r="C37" s="16">
        <v>0</v>
      </c>
    </row>
    <row r="38" spans="2:5" x14ac:dyDescent="0.25">
      <c r="B38" s="15" t="s">
        <v>21</v>
      </c>
      <c r="C38" s="16">
        <v>540</v>
      </c>
    </row>
    <row r="39" spans="2:5" x14ac:dyDescent="0.25">
      <c r="B39" s="15" t="s">
        <v>13</v>
      </c>
      <c r="C39" s="16">
        <v>400</v>
      </c>
    </row>
    <row r="40" spans="2:5" x14ac:dyDescent="0.25">
      <c r="B40" s="15" t="s">
        <v>310</v>
      </c>
      <c r="C40" s="16">
        <v>940</v>
      </c>
      <c r="E40" s="18">
        <f>$C$40</f>
        <v>940</v>
      </c>
    </row>
    <row r="43" spans="2:5" x14ac:dyDescent="0.25">
      <c r="B43" s="12" t="s">
        <v>325</v>
      </c>
    </row>
    <row r="45" spans="2:5" x14ac:dyDescent="0.25">
      <c r="B45" s="14" t="s">
        <v>11</v>
      </c>
      <c r="C45" t="s">
        <v>19</v>
      </c>
    </row>
    <row r="46" spans="2:5" x14ac:dyDescent="0.25">
      <c r="B46"/>
      <c r="C46"/>
    </row>
    <row r="47" spans="2:5" x14ac:dyDescent="0.25">
      <c r="B47" s="14" t="s">
        <v>8</v>
      </c>
      <c r="C47" t="s">
        <v>311</v>
      </c>
    </row>
    <row r="48" spans="2:5" x14ac:dyDescent="0.25">
      <c r="B48" s="15" t="s">
        <v>17</v>
      </c>
      <c r="C48" s="16">
        <v>120</v>
      </c>
    </row>
    <row r="49" spans="2:7" x14ac:dyDescent="0.25">
      <c r="B49" s="15" t="s">
        <v>21</v>
      </c>
      <c r="C49" s="16">
        <v>448</v>
      </c>
    </row>
    <row r="50" spans="2:7" x14ac:dyDescent="0.25">
      <c r="B50" s="15" t="s">
        <v>13</v>
      </c>
      <c r="C50" s="16">
        <v>1186</v>
      </c>
    </row>
    <row r="51" spans="2:7" x14ac:dyDescent="0.25">
      <c r="B51" s="15" t="s">
        <v>310</v>
      </c>
      <c r="C51" s="16">
        <v>1754</v>
      </c>
      <c r="E51" s="18">
        <f>C51</f>
        <v>1754</v>
      </c>
    </row>
    <row r="54" spans="2:7" x14ac:dyDescent="0.25">
      <c r="B54" s="12" t="s">
        <v>327</v>
      </c>
    </row>
    <row r="56" spans="2:7" x14ac:dyDescent="0.25">
      <c r="B56" s="14" t="s">
        <v>8</v>
      </c>
      <c r="C56" t="s">
        <v>326</v>
      </c>
    </row>
    <row r="57" spans="2:7" x14ac:dyDescent="0.25">
      <c r="B57"/>
      <c r="C57"/>
    </row>
    <row r="58" spans="2:7" x14ac:dyDescent="0.25">
      <c r="B58" t="s">
        <v>328</v>
      </c>
      <c r="C58" t="s">
        <v>311</v>
      </c>
      <c r="D58"/>
    </row>
    <row r="59" spans="2:7" x14ac:dyDescent="0.25">
      <c r="B59" s="22">
        <v>71</v>
      </c>
      <c r="C59" s="16">
        <v>1754</v>
      </c>
      <c r="D59"/>
      <c r="E59" s="18">
        <f>C59/B59</f>
        <v>24.704225352112676</v>
      </c>
      <c r="F59" s="21"/>
    </row>
    <row r="60" spans="2:7" x14ac:dyDescent="0.25">
      <c r="B60"/>
      <c r="C60"/>
      <c r="D60"/>
      <c r="F60" s="21"/>
    </row>
    <row r="61" spans="2:7" x14ac:dyDescent="0.25">
      <c r="B61"/>
      <c r="C61"/>
      <c r="D61"/>
      <c r="F61" s="21"/>
    </row>
    <row r="62" spans="2:7" x14ac:dyDescent="0.25">
      <c r="B62"/>
      <c r="C62"/>
      <c r="D62"/>
      <c r="F62" s="21"/>
      <c r="G62" s="21"/>
    </row>
    <row r="63" spans="2:7" x14ac:dyDescent="0.25">
      <c r="B63" s="12" t="s">
        <v>329</v>
      </c>
      <c r="C63"/>
    </row>
    <row r="64" spans="2:7" x14ac:dyDescent="0.25">
      <c r="B64"/>
      <c r="C64"/>
    </row>
    <row r="65" spans="2:4" x14ac:dyDescent="0.25">
      <c r="B65"/>
      <c r="C65"/>
    </row>
    <row r="66" spans="2:4" x14ac:dyDescent="0.25">
      <c r="B66"/>
      <c r="C66"/>
    </row>
    <row r="67" spans="2:4" x14ac:dyDescent="0.25">
      <c r="B67" s="14" t="s">
        <v>330</v>
      </c>
      <c r="C67" t="s">
        <v>311</v>
      </c>
      <c r="D67"/>
    </row>
    <row r="68" spans="2:4" x14ac:dyDescent="0.25">
      <c r="B68" s="15" t="s">
        <v>17</v>
      </c>
      <c r="C68" s="16">
        <v>120</v>
      </c>
      <c r="D68"/>
    </row>
    <row r="69" spans="2:4" x14ac:dyDescent="0.25">
      <c r="B69" s="15" t="s">
        <v>21</v>
      </c>
      <c r="C69" s="16">
        <v>448</v>
      </c>
      <c r="D69"/>
    </row>
    <row r="70" spans="2:4" x14ac:dyDescent="0.25">
      <c r="B70" s="15" t="s">
        <v>13</v>
      </c>
      <c r="C70" s="16">
        <v>1186</v>
      </c>
      <c r="D70"/>
    </row>
    <row r="71" spans="2:4" x14ac:dyDescent="0.25">
      <c r="B71" s="15" t="s">
        <v>310</v>
      </c>
      <c r="C71" s="16">
        <v>1754</v>
      </c>
      <c r="D7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1:T141"/>
  <sheetViews>
    <sheetView showGridLines="0" tabSelected="1" zoomScale="85" zoomScaleNormal="85" workbookViewId="0">
      <selection activeCell="D21" sqref="D21"/>
    </sheetView>
  </sheetViews>
  <sheetFormatPr defaultRowHeight="15" x14ac:dyDescent="0.25"/>
  <cols>
    <col min="1" max="1" width="31.7109375" style="4" customWidth="1"/>
    <col min="2" max="2" width="6" customWidth="1"/>
    <col min="3" max="9" width="9.140625" customWidth="1"/>
    <col min="10" max="10" width="4.140625" customWidth="1"/>
    <col min="11" max="11" width="9.140625" customWidth="1"/>
    <col min="12" max="12" width="6.5703125" customWidth="1"/>
    <col min="13" max="17" width="9.140625" customWidth="1"/>
    <col min="18" max="18" width="7.140625" customWidth="1"/>
  </cols>
  <sheetData>
    <row r="1" spans="1:20" ht="17.25" customHeight="1" x14ac:dyDescent="0.25"/>
    <row r="2" spans="1:20" ht="24.75" thickBot="1" x14ac:dyDescent="0.5">
      <c r="C2" s="20" t="s">
        <v>320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24"/>
      <c r="T2" s="24"/>
    </row>
    <row r="3" spans="1:20" ht="24.75" customHeight="1" thickTop="1" x14ac:dyDescent="0.25"/>
    <row r="4" spans="1:20" s="7" customFormat="1" ht="15" customHeight="1" x14ac:dyDescent="0.25">
      <c r="A4" s="4"/>
    </row>
    <row r="5" spans="1:20" s="7" customFormat="1" ht="9" customHeight="1" x14ac:dyDescent="0.25">
      <c r="A5" s="4"/>
    </row>
    <row r="6" spans="1:20" s="7" customFormat="1" ht="9" customHeight="1" x14ac:dyDescent="0.25">
      <c r="A6" s="4"/>
    </row>
    <row r="7" spans="1:20" s="7" customFormat="1" ht="12" customHeight="1" x14ac:dyDescent="0.25">
      <c r="A7" s="4"/>
    </row>
    <row r="8" spans="1:20" s="7" customForma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</sheetData>
  <pageMargins left="0.51181102362204722" right="0.51181102362204722" top="0.78740157480314965" bottom="0.78740157480314965" header="0.31496062992125984" footer="0.31496062992125984"/>
  <pageSetup paperSize="9" scale="78" fitToHeight="10" orientation="landscape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Alessandro oliveira</cp:lastModifiedBy>
  <cp:lastPrinted>2026-09-28T22:08:55Z</cp:lastPrinted>
  <dcterms:created xsi:type="dcterms:W3CDTF">2024-12-19T13:13:10Z</dcterms:created>
  <dcterms:modified xsi:type="dcterms:W3CDTF">2026-10-01T19:05:58Z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